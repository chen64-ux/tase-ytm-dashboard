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423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'Sheet1'!$A$1:$BYF$38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_-* #,##0.00_-;\-* #,##0.0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2" fillId="0" borderId="0"/>
    <xf numFmtId="9" fontId="2" fillId="0" borderId="0"/>
    <xf numFmtId="43" fontId="2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1"/>
    <xf numFmtId="9" fontId="0" fillId="2" borderId="0" pivotButton="0" quotePrefix="0" xfId="1"/>
    <xf numFmtId="2" fontId="0" fillId="2" borderId="0" pivotButton="0" quotePrefix="0" xfId="0"/>
    <xf numFmtId="9" fontId="1" fillId="0" borderId="3" applyAlignment="1" pivotButton="0" quotePrefix="0" xfId="1">
      <alignment horizontal="center" vertical="top"/>
    </xf>
    <xf numFmtId="164" fontId="1" fillId="0" borderId="1" applyAlignment="1" pivotButton="0" quotePrefix="0" xfId="1">
      <alignment horizontal="center" vertical="top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" fillId="0" borderId="3" applyAlignment="1" pivotButton="0" quotePrefix="0" xfId="0">
      <alignment horizontal="center" vertical="top"/>
    </xf>
    <xf numFmtId="14" fontId="0" fillId="0" borderId="0" pivotButton="0" quotePrefix="0" xfId="0"/>
    <xf numFmtId="164" fontId="0" fillId="0" borderId="0" pivotButton="0" quotePrefix="0" xfId="1"/>
    <xf numFmtId="9" fontId="0" fillId="0" borderId="0" pivotButton="0" quotePrefix="0" xfId="1"/>
    <xf numFmtId="165" fontId="0" fillId="0" borderId="0" pivotButton="0" quotePrefix="0" xfId="2"/>
    <xf numFmtId="165" fontId="0" fillId="2" borderId="0" pivotButton="0" quotePrefix="0" xfId="2"/>
    <xf numFmtId="20" fontId="0" fillId="0" borderId="0" pivotButton="0" quotePrefix="0" xfId="0"/>
    <xf numFmtId="165" fontId="0" fillId="2" borderId="0" pivotButton="0" quotePrefix="0" xfId="2"/>
    <xf numFmtId="165" fontId="0" fillId="0" borderId="0" pivotButton="0" quotePrefix="0" xfId="2"/>
  </cellXfs>
  <cellStyles count="3">
    <cellStyle name="Normal" xfId="0" builtinId="0"/>
    <cellStyle name="Percent" xfId="1" builtinId="5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"/>
  <sheetViews>
    <sheetView tabSelected="1" workbookViewId="0">
      <pane xSplit="5" ySplit="1" topLeftCell="AX2" activePane="bottomRight" state="frozen"/>
      <selection pane="topRight" activeCell="F1" sqref="F1"/>
      <selection pane="bottomLeft" activeCell="A2" sqref="A2"/>
      <selection pane="bottomRight" activeCell="AY4" sqref="AY4"/>
    </sheetView>
  </sheetViews>
  <sheetFormatPr baseColWidth="8" defaultColWidth="8.59765625" defaultRowHeight="14.25"/>
  <cols>
    <col width="14.265625" bestFit="1" customWidth="1" min="1" max="1"/>
    <col hidden="1" width="13" customWidth="1" min="4" max="4"/>
    <col width="12.59765625" bestFit="1" customWidth="1" min="9" max="9"/>
    <col width="14" bestFit="1" customWidth="1" min="10" max="10"/>
    <col width="8.3984375" bestFit="1" customWidth="1" min="11" max="12"/>
    <col width="14.73046875" bestFit="1" customWidth="1" min="13" max="13"/>
    <col width="25.46484375" bestFit="1" customWidth="1" min="14" max="14"/>
    <col width="24.86328125" bestFit="1" customWidth="1" min="15" max="15"/>
    <col width="15.73046875" bestFit="1" customWidth="1" min="16" max="16"/>
    <col width="15.3984375" bestFit="1" customWidth="1" min="17" max="17"/>
    <col width="20.46484375" bestFit="1" customWidth="1" min="18" max="18"/>
    <col width="24.265625" bestFit="1" customWidth="1" min="19" max="19"/>
    <col width="28.1328125" bestFit="1" customWidth="1" min="20" max="20"/>
    <col width="17.1328125" bestFit="1" customWidth="1" min="21" max="21"/>
    <col width="26.3984375" bestFit="1" customWidth="1" min="22" max="22"/>
    <col width="17.59765625" bestFit="1" customWidth="1" min="23" max="23"/>
    <col width="10.3984375" bestFit="1" customWidth="1" min="24" max="24"/>
    <col width="9" bestFit="1" customWidth="1" min="25" max="25"/>
    <col width="17.59765625" bestFit="1" customWidth="1" min="26" max="26"/>
    <col width="13.86328125" bestFit="1" customWidth="1" min="27" max="27"/>
    <col width="21.73046875" bestFit="1" customWidth="1" min="28" max="28"/>
    <col width="18.73046875" bestFit="1" customWidth="1" min="29" max="29"/>
    <col width="21.86328125" bestFit="1" customWidth="1" min="30" max="30"/>
    <col width="17.265625" bestFit="1" customWidth="1" min="31" max="31"/>
    <col width="17.59765625" bestFit="1" customWidth="1" min="32" max="32"/>
    <col width="21.86328125" bestFit="1" customWidth="1" min="33" max="33"/>
    <col width="12" bestFit="1" customWidth="1" min="34" max="34"/>
    <col width="14.265625" bestFit="1" customWidth="1" min="35" max="35"/>
    <col width="14.86328125" bestFit="1" customWidth="1" style="11" min="36" max="36"/>
    <col width="14.86328125" bestFit="1" customWidth="1" min="37" max="37"/>
    <col width="10" bestFit="1" customWidth="1" style="10" min="39" max="39"/>
    <col width="17.59765625" bestFit="1" customWidth="1" min="40" max="40"/>
    <col width="9" customWidth="1" style="12" min="56" max="56"/>
  </cols>
  <sheetData>
    <row r="1">
      <c r="A1" t="inlineStr">
        <is>
          <t>שם</t>
        </is>
      </c>
      <c r="B1" t="inlineStr">
        <is>
          <t xml:space="preserve">סימול </t>
        </is>
      </c>
      <c r="C1" t="inlineStr">
        <is>
          <t>מס' ני''ע</t>
        </is>
      </c>
      <c r="D1" t="inlineStr">
        <is>
          <t>סוג ני''ע</t>
        </is>
      </c>
      <c r="E1" t="inlineStr">
        <is>
          <t>שער אחרון (באגורות)</t>
        </is>
      </c>
      <c r="F1" t="inlineStr">
        <is>
          <t>שינוי (%)</t>
        </is>
      </c>
      <c r="G1" t="inlineStr">
        <is>
          <t xml:space="preserve">מחזור (באלפי ש''ח) </t>
        </is>
      </c>
      <c r="H1" t="inlineStr">
        <is>
          <t>זמן עסקה אחרונה</t>
        </is>
      </c>
      <c r="I1" t="inlineStr">
        <is>
          <t>שער בסיס</t>
        </is>
      </c>
      <c r="J1" t="inlineStr">
        <is>
          <t>שער פתיחה</t>
        </is>
      </c>
      <c r="K1" t="inlineStr">
        <is>
          <t>גבוה</t>
        </is>
      </c>
      <c r="L1" t="inlineStr">
        <is>
          <t>נמוך</t>
        </is>
      </c>
      <c r="M1" t="inlineStr">
        <is>
          <t>שינוי באגורות</t>
        </is>
      </c>
      <c r="N1" t="inlineStr">
        <is>
          <t>מחזור עסקאות בלוק</t>
        </is>
      </c>
      <c r="O1" t="inlineStr">
        <is>
          <t>זמן עסקת בלוק אחרונה</t>
        </is>
      </c>
      <c r="P1" t="inlineStr">
        <is>
          <t>תשואה מתחילת החודש (%)</t>
        </is>
      </c>
      <c r="Q1" t="inlineStr">
        <is>
          <t>תשואה מתחילת השנה (%)</t>
        </is>
      </c>
      <c r="R1" t="inlineStr">
        <is>
          <t>מספר עסקאות</t>
        </is>
      </c>
      <c r="S1" t="inlineStr">
        <is>
          <t xml:space="preserve">מחזור ביחידות </t>
        </is>
      </c>
      <c r="T1" t="inlineStr">
        <is>
          <t xml:space="preserve"> שווי שוק (אלפי ש''ח)</t>
        </is>
      </c>
      <c r="U1" t="inlineStr">
        <is>
          <t>כמות מזערית לשלב הרציף</t>
        </is>
      </c>
      <c r="V1" t="inlineStr">
        <is>
          <t>כמות מזערית עבור פקודות בלוק</t>
        </is>
      </c>
      <c r="W1" t="inlineStr">
        <is>
          <t>סוג האקס</t>
        </is>
      </c>
      <c r="X1" t="inlineStr">
        <is>
          <t>מקדם אקס</t>
        </is>
      </c>
      <c r="Y1" t="inlineStr">
        <is>
          <t>הון רשום למסחר</t>
        </is>
      </c>
      <c r="Z1" t="inlineStr">
        <is>
          <t>בורסת חו"ל</t>
        </is>
      </c>
      <c r="AA1" t="inlineStr">
        <is>
          <t>מועד אחרון ברשימה הראשית</t>
        </is>
      </c>
      <c r="AB1" t="inlineStr">
        <is>
          <t>תאריך השעייה</t>
        </is>
      </c>
      <c r="AC1" t="inlineStr">
        <is>
          <t>הצמדה</t>
        </is>
      </c>
      <c r="AD1" t="inlineStr">
        <is>
          <t>ריבית</t>
        </is>
      </c>
      <c r="AE1" t="inlineStr">
        <is>
          <t>מועד פדיון</t>
        </is>
      </c>
      <c r="AF1" t="inlineStr">
        <is>
          <t>מניית המרה</t>
        </is>
      </c>
      <c r="AG1" t="inlineStr">
        <is>
          <t>מניית המרה - מס' ני"ע</t>
        </is>
      </c>
      <c r="AH1" t="inlineStr">
        <is>
          <t>מניית המרה - ISIN</t>
        </is>
      </c>
      <c r="AI1" t="inlineStr">
        <is>
          <t>כמות אג"ח למניה אחת</t>
        </is>
      </c>
      <c r="AJ1" t="inlineStr">
        <is>
          <t>שער מנית המרה</t>
        </is>
      </c>
      <c r="AK1" t="inlineStr">
        <is>
          <t>מועד המרה סופי</t>
        </is>
      </c>
      <c r="AL1" t="inlineStr">
        <is>
          <t>מדד/מט"ח יסודי</t>
        </is>
      </c>
      <c r="AM1" t="inlineStr">
        <is>
          <t>תאריך מדד/מט"ח יסודי</t>
        </is>
      </c>
      <c r="AN1" t="inlineStr">
        <is>
          <t>מחיר מימוש בסיסי (באגורות/מטבע)</t>
        </is>
      </c>
      <c r="AO1" t="inlineStr">
        <is>
          <t>מחיר מימוש נוכחי (באגורות)</t>
        </is>
      </c>
      <c r="AP1" t="inlineStr">
        <is>
          <t>סוג הצמדת תוספת מימוש</t>
        </is>
      </c>
      <c r="AQ1" t="inlineStr">
        <is>
          <t>מועד מימוש אחרון</t>
        </is>
      </c>
      <c r="AR1" t="inlineStr">
        <is>
          <t>מס' מניות המתקבל מ-1 אופציה</t>
        </is>
      </c>
      <c r="AS1" t="inlineStr">
        <is>
          <t>מניית מימוש</t>
        </is>
      </c>
      <c r="AT1" t="inlineStr">
        <is>
          <t>שער מניית מימוש</t>
        </is>
      </c>
      <c r="AU1" t="inlineStr">
        <is>
          <t>תשואה שנתית לפדיון</t>
        </is>
      </c>
      <c r="AV1" t="inlineStr">
        <is>
          <t>מס' ימים לפדיון</t>
        </is>
      </c>
      <c r="AW1" t="inlineStr">
        <is>
          <t>ISIN</t>
        </is>
      </c>
      <c r="AX1" t="inlineStr">
        <is>
          <t>מספר מנפיק</t>
        </is>
      </c>
      <c r="AY1" s="6" t="inlineStr">
        <is>
          <t>תשואה לפדיון</t>
        </is>
      </c>
      <c r="AZ1" s="7" t="inlineStr">
        <is>
          <t>פרמיית המרה</t>
        </is>
      </c>
      <c r="BA1" s="7" t="inlineStr">
        <is>
          <t>Duration</t>
        </is>
      </c>
      <c r="BB1" s="8" t="inlineStr">
        <is>
          <t>משך מתואם (Modified Duration) – שנים</t>
        </is>
      </c>
      <c r="BC1" s="9" t="inlineStr">
        <is>
          <t>טווח לפדיון עד להמרה סופית</t>
        </is>
      </c>
      <c r="BD1" s="5" t="inlineStr">
        <is>
          <t>רגישות התשואה לאחוז שינוי</t>
        </is>
      </c>
      <c r="BE1" t="inlineStr">
        <is>
          <t>שער בסיס להנפקה</t>
        </is>
      </c>
      <c r="BF1" t="inlineStr">
        <is>
          <t>מחיר מתואם</t>
        </is>
      </c>
    </row>
    <row r="2">
      <c r="A2" t="inlineStr">
        <is>
          <t>אוטונומוס  אג 1</t>
        </is>
      </c>
      <c r="B2" t="inlineStr">
        <is>
          <t>אגרד.ה1</t>
        </is>
      </c>
      <c r="C2" t="n">
        <v>1223031</v>
      </c>
      <c r="D2" t="inlineStr">
        <is>
          <t xml:space="preserve"> איגרות חוב להמרה </t>
        </is>
      </c>
      <c r="E2" t="n">
        <v>64</v>
      </c>
      <c r="F2" t="n">
        <v>0</v>
      </c>
      <c r="G2" t="n">
        <v>0.97</v>
      </c>
      <c r="H2" s="15" t="n">
        <v>0.4340277777777778</v>
      </c>
      <c r="I2" t="n">
        <v>98.5</v>
      </c>
      <c r="J2" t="n">
        <v>98.5</v>
      </c>
      <c r="K2" t="n">
        <v>98.5</v>
      </c>
      <c r="L2" t="n">
        <v>98.5</v>
      </c>
      <c r="P2" t="n">
        <v>-1.6</v>
      </c>
      <c r="Q2" t="n">
        <v>9.699999999999999</v>
      </c>
      <c r="R2" t="n">
        <v>1</v>
      </c>
      <c r="S2" t="n">
        <v>984</v>
      </c>
      <c r="T2" t="n">
        <v>56049</v>
      </c>
      <c r="U2" t="n">
        <v>500</v>
      </c>
      <c r="V2" t="n">
        <v>500000</v>
      </c>
      <c r="Y2" t="n">
        <v>56902904</v>
      </c>
      <c r="AC2" t="inlineStr">
        <is>
          <t>לא צמוד</t>
        </is>
      </c>
      <c r="AD2" t="n">
        <v>4.3</v>
      </c>
      <c r="AE2" s="10" t="n">
        <v>47483</v>
      </c>
      <c r="AF2" t="inlineStr">
        <is>
          <t>אוטונומוס</t>
        </is>
      </c>
      <c r="AG2" t="n">
        <v>1083419</v>
      </c>
      <c r="AH2" t="inlineStr">
        <is>
          <t>IL0010834195</t>
        </is>
      </c>
      <c r="AI2" t="n">
        <v>17</v>
      </c>
      <c r="AJ2" t="n">
        <v>652.6</v>
      </c>
      <c r="AK2" s="10" t="n">
        <v>47473</v>
      </c>
      <c r="AW2" t="inlineStr">
        <is>
          <t>IL0012230319</t>
        </is>
      </c>
      <c r="AX2" t="n">
        <v>1082</v>
      </c>
      <c r="AY2" s="11" t="n">
        <v>0.2086319270094689</v>
      </c>
      <c r="AZ2" s="12" t="n">
        <v>0.6671774440698743</v>
      </c>
      <c r="BA2" s="8" t="n">
        <v>2.852253457405014</v>
      </c>
      <c r="BB2" s="8" t="n">
        <v>2.359902459686279</v>
      </c>
      <c r="BC2" s="8" t="n">
        <v>3.156164383561644</v>
      </c>
      <c r="BD2" s="11" t="n">
        <v>0.003505999782045324</v>
      </c>
      <c r="BE2" s="1" t="n"/>
      <c r="BF2" s="1" t="n"/>
    </row>
    <row r="3">
      <c r="A3" t="inlineStr">
        <is>
          <t>איסתא אג א</t>
        </is>
      </c>
      <c r="B3" t="inlineStr">
        <is>
          <t>אסתא.ה1</t>
        </is>
      </c>
      <c r="C3" t="n">
        <v>1197128</v>
      </c>
      <c r="D3" t="inlineStr">
        <is>
          <t xml:space="preserve"> איגרות חוב להמרה </t>
        </is>
      </c>
      <c r="E3" t="n">
        <v>111.1</v>
      </c>
      <c r="F3" t="n">
        <v>0</v>
      </c>
      <c r="I3" t="n">
        <v>113.5</v>
      </c>
      <c r="J3" t="n">
        <v>113.5</v>
      </c>
      <c r="P3" t="n">
        <v>0.4</v>
      </c>
      <c r="Q3" t="n">
        <v>-0.5</v>
      </c>
      <c r="T3" t="n">
        <v>340500</v>
      </c>
      <c r="U3" t="n">
        <v>440</v>
      </c>
      <c r="V3" t="n">
        <v>440000</v>
      </c>
      <c r="Y3" t="n">
        <v>300000000</v>
      </c>
      <c r="AC3" t="inlineStr">
        <is>
          <t>לא צמוד</t>
        </is>
      </c>
      <c r="AD3" t="n">
        <v>4.85</v>
      </c>
      <c r="AE3" s="10" t="n">
        <v>46934</v>
      </c>
      <c r="AF3" t="inlineStr">
        <is>
          <t>איסתא</t>
        </is>
      </c>
      <c r="AG3" t="n">
        <v>1081074</v>
      </c>
      <c r="AH3" t="inlineStr">
        <is>
          <t>IL0010810740</t>
        </is>
      </c>
      <c r="AI3" t="n">
        <v>97.62132</v>
      </c>
      <c r="AJ3" t="n">
        <v>9017</v>
      </c>
      <c r="AK3" s="10" t="n">
        <v>46924</v>
      </c>
      <c r="AW3" t="inlineStr">
        <is>
          <t>IL0011971285</t>
        </is>
      </c>
      <c r="AX3" t="n">
        <v>1036</v>
      </c>
      <c r="AY3" s="11" t="n">
        <v>-0.0162162079852715</v>
      </c>
      <c r="AZ3" s="12" t="n">
        <v>0.2028089887989353</v>
      </c>
      <c r="BA3" s="8" t="n">
        <v>1.633186580081167</v>
      </c>
      <c r="BB3" s="8" t="n">
        <v>1.660107224105107</v>
      </c>
      <c r="BC3" s="8" t="n">
        <v>1.652054794520548</v>
      </c>
      <c r="BD3" s="11" t="n">
        <v>0.00612299912451094</v>
      </c>
    </row>
    <row r="4">
      <c r="A4" t="inlineStr">
        <is>
          <t>אלומה      אג 1</t>
        </is>
      </c>
      <c r="B4" t="inlineStr">
        <is>
          <t>אלום.ה1</t>
        </is>
      </c>
      <c r="C4" t="n">
        <v>1238518</v>
      </c>
      <c r="D4" t="inlineStr">
        <is>
          <t xml:space="preserve"> איגרות חוב להמרה </t>
        </is>
      </c>
      <c r="E4" t="n">
        <v>108.4</v>
      </c>
      <c r="F4" t="n">
        <v>0</v>
      </c>
      <c r="I4" t="n">
        <v>104.1</v>
      </c>
      <c r="J4" t="n">
        <v>104.1</v>
      </c>
      <c r="P4" t="n">
        <v>-0.5</v>
      </c>
      <c r="Q4" t="n">
        <v>3.9</v>
      </c>
      <c r="T4" t="n">
        <v>197790</v>
      </c>
      <c r="U4" t="n">
        <v>480</v>
      </c>
      <c r="V4" t="n">
        <v>480000</v>
      </c>
      <c r="Y4" t="n">
        <v>190000000</v>
      </c>
      <c r="AC4" t="inlineStr">
        <is>
          <t>לא צמוד</t>
        </is>
      </c>
      <c r="AD4" t="n">
        <v>4.6</v>
      </c>
      <c r="AE4" s="10" t="n">
        <v>48029</v>
      </c>
      <c r="AF4" t="inlineStr">
        <is>
          <t>אלומה תשתיות</t>
        </is>
      </c>
      <c r="AG4" t="n">
        <v>1181643</v>
      </c>
      <c r="AH4" t="inlineStr">
        <is>
          <t>IL0011816431</t>
        </is>
      </c>
      <c r="AI4" t="n">
        <v>1.12</v>
      </c>
      <c r="AJ4" t="n">
        <v>80.40000000000001</v>
      </c>
      <c r="AK4" s="10" t="n">
        <v>48019</v>
      </c>
      <c r="AW4" t="inlineStr">
        <is>
          <t>IL0012385188</t>
        </is>
      </c>
      <c r="AX4" t="n">
        <v>1978</v>
      </c>
      <c r="AY4" s="11" t="n">
        <v>0.02662885122335365</v>
      </c>
      <c r="AZ4" s="12" t="n">
        <v>0.5100497512437812</v>
      </c>
      <c r="BA4" s="8" t="n">
        <v>4.27600885213917</v>
      </c>
      <c r="BB4" s="8" t="n">
        <v>4.165097101103075</v>
      </c>
      <c r="BC4" s="8" t="n">
        <v>4.652054794520548</v>
      </c>
      <c r="BD4" s="11" t="n">
        <v>0.002338629396194368</v>
      </c>
    </row>
    <row r="5">
      <c r="A5" t="inlineStr">
        <is>
          <t>אלומיי  אג ד</t>
        </is>
      </c>
      <c r="B5" t="inlineStr">
        <is>
          <t>אלומ.ה4</t>
        </is>
      </c>
      <c r="C5" t="n">
        <v>1172956</v>
      </c>
      <c r="D5" t="inlineStr">
        <is>
          <t xml:space="preserve"> איגרות חוב להמרה </t>
        </is>
      </c>
      <c r="E5" t="n">
        <v>99.7</v>
      </c>
      <c r="F5" t="n">
        <v>0</v>
      </c>
      <c r="I5" t="n">
        <v>98.40000000000001</v>
      </c>
      <c r="J5" t="n">
        <v>98.40000000000001</v>
      </c>
      <c r="P5" t="n">
        <v>0</v>
      </c>
      <c r="Q5" t="n">
        <v>3</v>
      </c>
      <c r="T5" t="n">
        <v>61008</v>
      </c>
      <c r="U5" t="n">
        <v>510</v>
      </c>
      <c r="V5" t="n">
        <v>510000</v>
      </c>
      <c r="Y5" t="n">
        <v>62000000</v>
      </c>
      <c r="AC5" t="inlineStr">
        <is>
          <t>לא צמוד</t>
        </is>
      </c>
      <c r="AD5" t="n">
        <v>1.2</v>
      </c>
      <c r="AE5" s="10" t="n">
        <v>46387</v>
      </c>
      <c r="AF5" t="inlineStr">
        <is>
          <t>אלומיי</t>
        </is>
      </c>
      <c r="AG5" t="n">
        <v>1082635</v>
      </c>
      <c r="AH5" t="inlineStr">
        <is>
          <t>IL0010826357</t>
        </is>
      </c>
      <c r="AI5" t="n">
        <v>165</v>
      </c>
      <c r="AJ5" t="n">
        <v>6526</v>
      </c>
      <c r="AK5" s="10" t="n">
        <v>46377</v>
      </c>
      <c r="AW5" t="inlineStr">
        <is>
          <t>IL0011729568</t>
        </is>
      </c>
      <c r="AX5" t="n">
        <v>2101</v>
      </c>
      <c r="AY5" s="11" t="n">
        <v>0.02839695400506114</v>
      </c>
      <c r="AZ5" s="12" t="n">
        <v>1.520763101440392</v>
      </c>
      <c r="BA5" s="8" t="n">
        <v>0.1808219178082192</v>
      </c>
      <c r="BB5" s="8" t="n">
        <v>0.1758289122736251</v>
      </c>
      <c r="BC5" s="8" t="n">
        <v>0.1534246575342466</v>
      </c>
      <c r="BD5" s="11" t="n">
        <v>0.05530303030303031</v>
      </c>
    </row>
    <row r="6">
      <c r="A6" t="inlineStr">
        <is>
          <t>אנלייט אנ  אג ח</t>
        </is>
      </c>
      <c r="B6" t="inlineStr">
        <is>
          <t>אנלט.ה8</t>
        </is>
      </c>
      <c r="C6" t="n">
        <v>1218130</v>
      </c>
      <c r="D6" t="inlineStr">
        <is>
          <t xml:space="preserve"> איגרות חוב להמרה </t>
        </is>
      </c>
      <c r="E6" t="n">
        <v>276.9</v>
      </c>
      <c r="F6" t="n">
        <v>0</v>
      </c>
      <c r="G6" t="n">
        <v>0.21</v>
      </c>
      <c r="H6" s="15" t="n">
        <v>0.4270833333333333</v>
      </c>
      <c r="I6" t="n">
        <v>319.8</v>
      </c>
      <c r="J6" t="n">
        <v>319.8</v>
      </c>
      <c r="K6" t="n">
        <v>319.8</v>
      </c>
      <c r="L6" t="n">
        <v>319.8</v>
      </c>
      <c r="P6" t="n">
        <v>-3.8</v>
      </c>
      <c r="Q6" t="n">
        <v>72.3</v>
      </c>
      <c r="R6" t="n">
        <v>1</v>
      </c>
      <c r="S6" t="n">
        <v>67</v>
      </c>
      <c r="T6" t="n">
        <v>1266506</v>
      </c>
      <c r="U6" t="n">
        <v>150</v>
      </c>
      <c r="V6" t="n">
        <v>150000</v>
      </c>
      <c r="Y6" t="n">
        <v>396030544</v>
      </c>
      <c r="AC6" t="inlineStr">
        <is>
          <t>לא צמוד</t>
        </is>
      </c>
      <c r="AD6" t="n">
        <v>4</v>
      </c>
      <c r="AE6" s="10" t="n">
        <v>48823</v>
      </c>
      <c r="AF6" t="inlineStr">
        <is>
          <t>אנלייט אנרגיה</t>
        </is>
      </c>
      <c r="AG6" t="n">
        <v>720011</v>
      </c>
      <c r="AH6" t="inlineStr">
        <is>
          <t>IL0007200111</t>
        </is>
      </c>
      <c r="AI6" t="n">
        <v>80</v>
      </c>
      <c r="AJ6" t="n">
        <v>21430</v>
      </c>
      <c r="AK6" s="10" t="n">
        <v>48813</v>
      </c>
      <c r="AW6" t="inlineStr">
        <is>
          <t>IL0012181306</t>
        </is>
      </c>
      <c r="AX6" t="n">
        <v>720</v>
      </c>
      <c r="AY6" s="11" t="n">
        <v>-0.1152250247645746</v>
      </c>
      <c r="AZ6" s="12" t="n">
        <v>0.03369108726084935</v>
      </c>
      <c r="BA6" s="8" t="n">
        <v>6.43027877384969</v>
      </c>
      <c r="BB6" s="8" t="n">
        <v>7.267699645481823</v>
      </c>
      <c r="BC6" s="8" t="n">
        <v>6.827397260273973</v>
      </c>
      <c r="BD6" s="11" t="n">
        <v>0.001555142529849166</v>
      </c>
    </row>
    <row r="7">
      <c r="A7" t="inlineStr">
        <is>
          <t>אנלייט אנר אג ג</t>
        </is>
      </c>
      <c r="B7" t="inlineStr">
        <is>
          <t>אנלט.ה3</t>
        </is>
      </c>
      <c r="C7" t="n">
        <v>7200249</v>
      </c>
      <c r="D7" t="inlineStr">
        <is>
          <t xml:space="preserve"> איגרות חוב להמרה </t>
        </is>
      </c>
      <c r="E7" t="n">
        <v>110</v>
      </c>
      <c r="F7" t="n">
        <v>0</v>
      </c>
      <c r="I7" t="n">
        <v>127.3</v>
      </c>
      <c r="J7" t="n">
        <v>127.3</v>
      </c>
      <c r="P7" t="n">
        <v>0.5</v>
      </c>
      <c r="Q7" t="n">
        <v>40.1</v>
      </c>
      <c r="T7" t="n">
        <v>663921</v>
      </c>
      <c r="U7" t="n">
        <v>390</v>
      </c>
      <c r="V7" t="n">
        <v>390000</v>
      </c>
      <c r="Y7" t="n">
        <v>521540590</v>
      </c>
      <c r="AC7" t="inlineStr">
        <is>
          <t>לא צמוד</t>
        </is>
      </c>
      <c r="AD7" t="n">
        <v>0.75</v>
      </c>
      <c r="AE7" s="10" t="n">
        <v>46997</v>
      </c>
      <c r="AF7" t="inlineStr">
        <is>
          <t>אנלייט אנרגיה</t>
        </is>
      </c>
      <c r="AG7" t="n">
        <v>720011</v>
      </c>
      <c r="AH7" t="inlineStr">
        <is>
          <t>IL0007200111</t>
        </is>
      </c>
      <c r="AI7" t="n">
        <v>240</v>
      </c>
      <c r="AJ7" t="n">
        <v>21430</v>
      </c>
      <c r="AK7" s="10" t="n">
        <v>46987</v>
      </c>
      <c r="AW7" t="inlineStr">
        <is>
          <t>IL0072002491</t>
        </is>
      </c>
      <c r="AX7" t="n">
        <v>720</v>
      </c>
      <c r="AY7" s="11" t="n">
        <v>-0.0432520858469558</v>
      </c>
      <c r="AZ7" s="12" t="n">
        <v>0.2319178721418571</v>
      </c>
      <c r="BA7" s="8" t="n">
        <v>1.842243242492818</v>
      </c>
      <c r="BB7" s="8" t="n">
        <v>1.925526270024486</v>
      </c>
      <c r="BC7" s="8" t="n">
        <v>1.824657534246575</v>
      </c>
      <c r="BD7" s="11" t="n">
        <v>0.005428164842373677</v>
      </c>
    </row>
    <row r="8">
      <c r="A8" t="inlineStr">
        <is>
          <t>אנרג'יקס   אג ב</t>
        </is>
      </c>
      <c r="B8" t="inlineStr">
        <is>
          <t>אנרג.ה2</t>
        </is>
      </c>
      <c r="C8" t="n">
        <v>1168483</v>
      </c>
      <c r="D8" t="inlineStr">
        <is>
          <t xml:space="preserve"> איגרות חוב להמרה </t>
        </is>
      </c>
      <c r="E8" t="n">
        <v>96.8</v>
      </c>
      <c r="F8" t="n">
        <v>0</v>
      </c>
      <c r="I8" t="n">
        <v>96</v>
      </c>
      <c r="J8" t="n">
        <v>96</v>
      </c>
      <c r="P8" t="n">
        <v>0.1</v>
      </c>
      <c r="Q8" t="n">
        <v>3.1</v>
      </c>
      <c r="T8" t="n">
        <v>543938</v>
      </c>
      <c r="U8" t="n">
        <v>520</v>
      </c>
      <c r="V8" t="n">
        <v>520000</v>
      </c>
      <c r="Y8" t="n">
        <v>566602000</v>
      </c>
      <c r="AC8" t="inlineStr">
        <is>
          <t>לא צמוד</t>
        </is>
      </c>
      <c r="AD8" t="n">
        <v>0.25</v>
      </c>
      <c r="AE8" s="10" t="n">
        <v>46600</v>
      </c>
      <c r="AF8" t="inlineStr">
        <is>
          <t>אנרג'יקס</t>
        </is>
      </c>
      <c r="AG8" t="n">
        <v>1123355</v>
      </c>
      <c r="AH8" t="inlineStr">
        <is>
          <t>IL0011233553</t>
        </is>
      </c>
      <c r="AI8" t="n">
        <v>84.29154</v>
      </c>
      <c r="AJ8" t="n">
        <v>1938</v>
      </c>
      <c r="AK8" s="10" t="n">
        <v>46590</v>
      </c>
      <c r="AW8" t="inlineStr">
        <is>
          <t>IL0011684839</t>
        </is>
      </c>
      <c r="AX8" t="n">
        <v>1581</v>
      </c>
      <c r="AY8" s="11" t="n">
        <v>0.04580249971955052</v>
      </c>
      <c r="AZ8" s="12" t="n">
        <v>3.210227591331269</v>
      </c>
      <c r="BA8" s="8" t="n">
        <v>0.7643835616438356</v>
      </c>
      <c r="BB8" s="8" t="n">
        <v>0.7309062292821233</v>
      </c>
      <c r="BC8" s="8" t="n">
        <v>0.736986301369863</v>
      </c>
      <c r="BD8" s="11" t="n">
        <v>0.01308243727598566</v>
      </c>
    </row>
    <row r="9">
      <c r="A9" t="inlineStr">
        <is>
          <t>ארבה אג א</t>
        </is>
      </c>
      <c r="B9" t="inlineStr">
        <is>
          <t>ארב.ה1</t>
        </is>
      </c>
      <c r="C9" t="n">
        <v>1207489</v>
      </c>
      <c r="D9" t="inlineStr">
        <is>
          <t xml:space="preserve"> איגרות חוב להמרה </t>
        </is>
      </c>
      <c r="E9" t="n">
        <v>87.09999999999999</v>
      </c>
      <c r="F9" t="n">
        <v>0</v>
      </c>
      <c r="I9" t="n">
        <v>81.59999999999999</v>
      </c>
      <c r="J9" t="n">
        <v>81.59999999999999</v>
      </c>
      <c r="P9" t="n">
        <v>0.6</v>
      </c>
      <c r="Q9" t="n">
        <v>-5.8</v>
      </c>
      <c r="T9" t="n">
        <v>72054</v>
      </c>
      <c r="U9" t="n">
        <v>620</v>
      </c>
      <c r="V9" t="n">
        <v>620000</v>
      </c>
      <c r="Y9" t="n">
        <v>88300973</v>
      </c>
      <c r="AC9" t="inlineStr">
        <is>
          <t>דולר</t>
        </is>
      </c>
      <c r="AD9" t="n">
        <v>4.533</v>
      </c>
      <c r="AE9" s="10" t="n">
        <v>46903</v>
      </c>
      <c r="AF9" t="inlineStr">
        <is>
          <t>ארבה רובוטיקס</t>
        </is>
      </c>
      <c r="AG9" t="n">
        <v>1179662</v>
      </c>
      <c r="AH9" t="inlineStr">
        <is>
          <t>IL0011796625</t>
        </is>
      </c>
      <c r="AI9" t="n">
        <v>9.529999999999999</v>
      </c>
      <c r="AJ9" t="n">
        <v>146.4</v>
      </c>
      <c r="AK9" s="10" t="n">
        <v>46895</v>
      </c>
      <c r="AM9" s="10" t="n">
        <v>45440</v>
      </c>
      <c r="AW9" t="inlineStr">
        <is>
          <t>IL0012074899</t>
        </is>
      </c>
      <c r="AX9" t="n">
        <v>1975</v>
      </c>
      <c r="AY9" s="11" t="n">
        <v>0.1408174264903573</v>
      </c>
      <c r="AZ9" s="12" t="n">
        <v>4.669829234972677</v>
      </c>
      <c r="BA9" s="8" t="n">
        <v>1.544642066215197</v>
      </c>
      <c r="BB9" s="8" t="n">
        <v>1.353978323216167</v>
      </c>
      <c r="BC9" s="8" t="n">
        <v>1.572602739726027</v>
      </c>
      <c r="BD9" s="11" t="n">
        <v>0.006473991754285693</v>
      </c>
    </row>
    <row r="10">
      <c r="A10" t="inlineStr">
        <is>
          <t>ארגו פרופ  אג 1</t>
        </is>
      </c>
      <c r="B10" t="inlineStr">
        <is>
          <t>ארגו.ה1</t>
        </is>
      </c>
      <c r="C10" t="n">
        <v>1230705</v>
      </c>
      <c r="D10" t="inlineStr">
        <is>
          <t xml:space="preserve"> איגרות חוב להמרה </t>
        </is>
      </c>
      <c r="E10" t="n">
        <v>105</v>
      </c>
      <c r="F10" t="n">
        <v>-1.15</v>
      </c>
      <c r="G10" t="n">
        <v>50.9</v>
      </c>
      <c r="H10" s="15" t="n">
        <v>0.46875</v>
      </c>
      <c r="I10" t="n">
        <v>121.3</v>
      </c>
      <c r="J10" t="n">
        <v>121.3</v>
      </c>
      <c r="K10" t="n">
        <v>121.1</v>
      </c>
      <c r="L10" t="n">
        <v>119.9</v>
      </c>
      <c r="M10" t="n">
        <v>-1.4</v>
      </c>
      <c r="P10" t="n">
        <v>13.7</v>
      </c>
      <c r="Q10" t="n">
        <v>22.1</v>
      </c>
      <c r="R10" t="n">
        <v>7</v>
      </c>
      <c r="S10" t="n">
        <v>42300</v>
      </c>
      <c r="T10" t="n">
        <v>376030</v>
      </c>
      <c r="U10" t="n">
        <v>470</v>
      </c>
      <c r="V10" t="n">
        <v>470000</v>
      </c>
      <c r="Y10" t="n">
        <v>310000000</v>
      </c>
      <c r="AC10" t="inlineStr">
        <is>
          <t>לא צמוד</t>
        </is>
      </c>
      <c r="AD10" t="n">
        <v>2</v>
      </c>
      <c r="AE10" s="10" t="n">
        <v>47848</v>
      </c>
      <c r="AF10" t="inlineStr">
        <is>
          <t>ארגו פרופרטיז</t>
        </is>
      </c>
      <c r="AG10" t="n">
        <v>1175371</v>
      </c>
      <c r="AH10" t="inlineStr">
        <is>
          <t>NL0015000D84</t>
        </is>
      </c>
      <c r="AI10" t="n">
        <v>160</v>
      </c>
      <c r="AJ10" t="n">
        <v>13670</v>
      </c>
      <c r="AK10" s="10" t="n">
        <v>47840</v>
      </c>
      <c r="AW10" t="inlineStr">
        <is>
          <t>IL0012307059</t>
        </is>
      </c>
      <c r="AX10" t="n">
        <v>1884</v>
      </c>
      <c r="AY10" s="2" t="n">
        <v>0.00779532888521632</v>
      </c>
      <c r="AZ10" s="3" t="n">
        <v>0.2289685442574982</v>
      </c>
      <c r="BA10" s="4" t="n">
        <v>3.994978367929201</v>
      </c>
      <c r="BB10" s="4" t="n">
        <v>3.96407708333823</v>
      </c>
      <c r="BC10" s="4" t="n">
        <v>4.161643835616438</v>
      </c>
      <c r="BD10" s="2" t="n">
        <v>0.002503142465120157</v>
      </c>
      <c r="BE10" s="1" t="n">
        <v>3.73</v>
      </c>
      <c r="BF10" s="1">
        <f>2.95/BE10</f>
        <v/>
      </c>
    </row>
    <row r="11">
      <c r="A11" t="inlineStr">
        <is>
          <t>ג'י סיטי  אג יז</t>
        </is>
      </c>
      <c r="B11" t="inlineStr">
        <is>
          <t>גיסי.ה17</t>
        </is>
      </c>
      <c r="C11" t="n">
        <v>1198142</v>
      </c>
      <c r="D11" t="inlineStr">
        <is>
          <t xml:space="preserve"> איגרות חוב להמרה </t>
        </is>
      </c>
      <c r="E11" t="n">
        <v>103</v>
      </c>
      <c r="F11" t="n">
        <v>1.93</v>
      </c>
      <c r="G11" t="n">
        <v>10.91</v>
      </c>
      <c r="H11" s="15" t="n">
        <v>0.4305555555555556</v>
      </c>
      <c r="I11" t="n">
        <v>108.8</v>
      </c>
      <c r="J11" t="n">
        <v>109</v>
      </c>
      <c r="K11" t="n">
        <v>110.9</v>
      </c>
      <c r="L11" t="n">
        <v>109</v>
      </c>
      <c r="M11" t="n">
        <v>2.1</v>
      </c>
      <c r="P11" t="n">
        <v>4.4</v>
      </c>
      <c r="Q11" t="n">
        <v>21.9</v>
      </c>
      <c r="R11" t="n">
        <v>2</v>
      </c>
      <c r="S11" t="n">
        <v>10010</v>
      </c>
      <c r="T11" t="n">
        <v>561701</v>
      </c>
      <c r="U11" t="n">
        <v>480</v>
      </c>
      <c r="V11" t="n">
        <v>480000</v>
      </c>
      <c r="Y11" t="n">
        <v>516269340</v>
      </c>
      <c r="AC11" t="inlineStr">
        <is>
          <t>לא צמוד</t>
        </is>
      </c>
      <c r="AD11" t="n">
        <v>5.5</v>
      </c>
      <c r="AE11" s="10" t="n">
        <v>47300</v>
      </c>
      <c r="AF11" t="inlineStr">
        <is>
          <t>ג'י סיטי</t>
        </is>
      </c>
      <c r="AG11" t="n">
        <v>126011</v>
      </c>
      <c r="AH11" t="inlineStr">
        <is>
          <t>IL0001260111</t>
        </is>
      </c>
      <c r="AI11" t="n">
        <v>15.65898</v>
      </c>
      <c r="AJ11" t="n">
        <v>1127</v>
      </c>
      <c r="AK11" s="10" t="n">
        <v>47289</v>
      </c>
      <c r="AW11" t="inlineStr">
        <is>
          <t>IL0011981425</t>
        </is>
      </c>
      <c r="AX11" t="n">
        <v>126</v>
      </c>
      <c r="AY11" s="11" t="n">
        <v>0.04281060371649507</v>
      </c>
      <c r="AZ11" s="12" t="n">
        <v>0.4311223957409049</v>
      </c>
      <c r="BA11" s="8" t="n">
        <v>2.528471104067922</v>
      </c>
      <c r="BB11" s="8" t="n">
        <v>2.424669537360523</v>
      </c>
      <c r="BC11" s="8" t="n">
        <v>2.652054794520548</v>
      </c>
      <c r="BD11" s="11" t="n">
        <v>0.003954959178260544</v>
      </c>
    </row>
    <row r="12">
      <c r="A12" t="inlineStr">
        <is>
          <t>גילת טלקום אג ג</t>
        </is>
      </c>
      <c r="B12" t="inlineStr">
        <is>
          <t>גלטל.ה3</t>
        </is>
      </c>
      <c r="C12" t="n">
        <v>1177823</v>
      </c>
      <c r="D12" t="inlineStr">
        <is>
          <t xml:space="preserve"> איגרות חוב להמרה </t>
        </is>
      </c>
      <c r="E12" t="n">
        <v>159.6</v>
      </c>
      <c r="F12" t="n">
        <v>0</v>
      </c>
      <c r="I12" t="n">
        <v>193.9</v>
      </c>
      <c r="J12" t="n">
        <v>193.9</v>
      </c>
      <c r="P12" t="n">
        <v>-2.2</v>
      </c>
      <c r="Q12" t="n">
        <v>87.3</v>
      </c>
      <c r="T12" t="n">
        <v>14942</v>
      </c>
      <c r="U12" t="n">
        <v>250</v>
      </c>
      <c r="V12" t="n">
        <v>250000</v>
      </c>
      <c r="Y12" t="n">
        <v>7705872</v>
      </c>
      <c r="AC12" t="inlineStr">
        <is>
          <t>לא צמוד</t>
        </is>
      </c>
      <c r="AD12" t="n">
        <v>4.5</v>
      </c>
      <c r="AE12" s="10" t="n">
        <v>46266</v>
      </c>
      <c r="AF12" t="inlineStr">
        <is>
          <t>גילת טלקום</t>
        </is>
      </c>
      <c r="AG12" t="n">
        <v>1080597</v>
      </c>
      <c r="AH12" t="inlineStr">
        <is>
          <t>IL0010805971</t>
        </is>
      </c>
      <c r="AI12" t="n">
        <v>1.35</v>
      </c>
      <c r="AJ12" t="n">
        <v>223.9</v>
      </c>
      <c r="AK12" s="10" t="n">
        <v>46258</v>
      </c>
      <c r="AW12" t="inlineStr">
        <is>
          <t>IL0011778235</t>
        </is>
      </c>
      <c r="AX12" t="n">
        <v>1006</v>
      </c>
      <c r="AY12" s="11" t="n"/>
      <c r="AZ12" s="12" t="n">
        <v>-0.03769539973202318</v>
      </c>
      <c r="BA12" s="8" t="n"/>
      <c r="BB12" s="8" t="n"/>
      <c r="BC12" s="8" t="n">
        <v>-0.1726027397260274</v>
      </c>
      <c r="BD12" s="11" t="n"/>
      <c r="BE12" s="1" t="n"/>
      <c r="BF12" s="1" t="n"/>
    </row>
    <row r="13">
      <c r="A13" t="inlineStr">
        <is>
          <t>גילת טלקום אג ד</t>
        </is>
      </c>
      <c r="B13" t="inlineStr">
        <is>
          <t>גלטל.ה4</t>
        </is>
      </c>
      <c r="C13" t="n">
        <v>1218205</v>
      </c>
      <c r="D13" t="inlineStr">
        <is>
          <t xml:space="preserve"> איגרות חוב להמרה </t>
        </is>
      </c>
      <c r="E13" t="n">
        <v>198.4</v>
      </c>
      <c r="F13" t="n">
        <v>0</v>
      </c>
      <c r="I13" t="n">
        <v>248.6</v>
      </c>
      <c r="J13" t="n">
        <v>248.6</v>
      </c>
      <c r="P13" t="n">
        <v>2.6</v>
      </c>
      <c r="Q13" t="n">
        <v>106.2</v>
      </c>
      <c r="T13" t="n">
        <v>74122</v>
      </c>
      <c r="U13" t="n">
        <v>210</v>
      </c>
      <c r="V13" t="n">
        <v>210000</v>
      </c>
      <c r="Y13" t="n">
        <v>29815936</v>
      </c>
      <c r="AC13" t="inlineStr">
        <is>
          <t>לא צמוד</t>
        </is>
      </c>
      <c r="AD13" t="n">
        <v>5.5</v>
      </c>
      <c r="AE13" s="10" t="n">
        <v>47939</v>
      </c>
      <c r="AF13" t="inlineStr">
        <is>
          <t>גילת טלקום</t>
        </is>
      </c>
      <c r="AG13" t="n">
        <v>1080597</v>
      </c>
      <c r="AH13" t="inlineStr">
        <is>
          <t>IL0010805971</t>
        </is>
      </c>
      <c r="AI13" t="n">
        <v>1</v>
      </c>
      <c r="AJ13" t="n">
        <v>193.4</v>
      </c>
      <c r="AK13" s="10" t="n">
        <v>47928</v>
      </c>
      <c r="AW13" t="inlineStr">
        <is>
          <t>IL0012182056</t>
        </is>
      </c>
      <c r="AX13" t="n">
        <v>1006</v>
      </c>
      <c r="AY13" s="11" t="n">
        <v>-0.1067502646881136</v>
      </c>
      <c r="AZ13" s="12" t="n">
        <v>0.02585315408479838</v>
      </c>
      <c r="BA13" s="8" t="n">
        <v>4.107319872005044</v>
      </c>
      <c r="BB13" s="8" t="n">
        <v>4.598176422152463</v>
      </c>
      <c r="BC13" s="8" t="n">
        <v>4.402739726027397</v>
      </c>
      <c r="BD13" s="11" t="n">
        <v>0.002434677675863206</v>
      </c>
    </row>
    <row r="14">
      <c r="A14" t="inlineStr">
        <is>
          <t>ג'נרישן קפ אגחד</t>
        </is>
      </c>
      <c r="B14" t="inlineStr">
        <is>
          <t>גנרש.ה4</t>
        </is>
      </c>
      <c r="C14" t="n">
        <v>1214964</v>
      </c>
      <c r="D14" t="inlineStr">
        <is>
          <t xml:space="preserve"> איגרות חוב להמרה </t>
        </is>
      </c>
      <c r="E14" t="n">
        <v>222.7</v>
      </c>
      <c r="F14" t="n">
        <v>0</v>
      </c>
      <c r="I14" t="n">
        <v>309.9</v>
      </c>
      <c r="J14" t="n">
        <v>309.9</v>
      </c>
      <c r="P14" t="n">
        <v>0</v>
      </c>
      <c r="Q14" t="n">
        <v>90.90000000000001</v>
      </c>
      <c r="T14" t="n">
        <v>65558</v>
      </c>
      <c r="U14" t="n">
        <v>160</v>
      </c>
      <c r="V14" t="n">
        <v>160000</v>
      </c>
      <c r="Y14" t="n">
        <v>21154539</v>
      </c>
      <c r="AC14" t="inlineStr">
        <is>
          <t>לא צמוד</t>
        </is>
      </c>
      <c r="AD14" t="n">
        <v>4</v>
      </c>
      <c r="AE14" s="10" t="n">
        <v>47483</v>
      </c>
      <c r="AF14" t="inlineStr">
        <is>
          <t>ג'נריישן קפיטל</t>
        </is>
      </c>
      <c r="AG14" t="n">
        <v>1156926</v>
      </c>
      <c r="AH14" t="inlineStr">
        <is>
          <t>IL0011569261</t>
        </is>
      </c>
      <c r="AI14" t="n">
        <v>1.12975</v>
      </c>
      <c r="AJ14" t="n">
        <v>235.9</v>
      </c>
      <c r="AK14" s="10" t="n">
        <v>47473</v>
      </c>
      <c r="AW14" t="inlineStr">
        <is>
          <t>IL0012149642</t>
        </is>
      </c>
      <c r="AX14" t="n">
        <v>1769</v>
      </c>
      <c r="AY14" s="11" t="n">
        <v>-0.1983908621571275</v>
      </c>
      <c r="AZ14" s="12" t="n">
        <v>0.06653380669775322</v>
      </c>
      <c r="BA14" s="8" t="n">
        <v>3.050916906914449</v>
      </c>
      <c r="BB14" s="8" t="n">
        <v>3.805990679103854</v>
      </c>
      <c r="BC14" s="8" t="n">
        <v>3.156164383561644</v>
      </c>
      <c r="BD14" s="11" t="n">
        <v>0.003277703164362323</v>
      </c>
    </row>
    <row r="15">
      <c r="A15" t="inlineStr">
        <is>
          <t>גפן מגורים אג א</t>
        </is>
      </c>
      <c r="B15" t="inlineStr">
        <is>
          <t>גפנמ.ה1</t>
        </is>
      </c>
      <c r="C15" t="n">
        <v>1199686</v>
      </c>
      <c r="D15" t="inlineStr">
        <is>
          <t xml:space="preserve"> איגרות חוב להמרה </t>
        </is>
      </c>
      <c r="E15" t="n">
        <v>161.6</v>
      </c>
      <c r="F15" t="n">
        <v>0</v>
      </c>
      <c r="I15" t="n">
        <v>155.4</v>
      </c>
      <c r="J15" t="n">
        <v>155.4</v>
      </c>
      <c r="P15" t="n">
        <v>3.3</v>
      </c>
      <c r="Q15" t="n">
        <v>5.4</v>
      </c>
      <c r="T15" t="n">
        <v>77564</v>
      </c>
      <c r="U15" t="n">
        <v>330</v>
      </c>
      <c r="V15" t="n">
        <v>330000</v>
      </c>
      <c r="Y15" t="n">
        <v>49912407</v>
      </c>
      <c r="AC15" t="inlineStr">
        <is>
          <t>לא צמוד</t>
        </is>
      </c>
      <c r="AD15" t="n">
        <v>7</v>
      </c>
      <c r="AE15" s="10" t="n">
        <v>47027</v>
      </c>
      <c r="AF15" t="inlineStr">
        <is>
          <t>גפן מגורים</t>
        </is>
      </c>
      <c r="AG15" t="n">
        <v>1118116</v>
      </c>
      <c r="AH15" t="inlineStr">
        <is>
          <t>IL0011181166</t>
        </is>
      </c>
      <c r="AI15" t="n">
        <v>0.545</v>
      </c>
      <c r="AJ15" t="n">
        <v>70.59999999999999</v>
      </c>
      <c r="AK15" s="10" t="n">
        <v>47021</v>
      </c>
      <c r="AW15" t="inlineStr">
        <is>
          <t>IL0011996860</t>
        </is>
      </c>
      <c r="AX15" t="n">
        <v>1532</v>
      </c>
      <c r="AY15" s="11" t="n">
        <v>-0.171096273705161</v>
      </c>
      <c r="AZ15" s="12" t="n">
        <v>0.2474787535410767</v>
      </c>
      <c r="BA15" s="8" t="n">
        <v>1.880068849005218</v>
      </c>
      <c r="BB15" s="8" t="n">
        <v>2.268138976053394</v>
      </c>
      <c r="BC15" s="8" t="n">
        <v>1.917808219178082</v>
      </c>
      <c r="BD15" s="11" t="n">
        <v>0.005318954146435221</v>
      </c>
    </row>
    <row r="16">
      <c r="A16" t="inlineStr">
        <is>
          <t>הפניקס    אגח 7</t>
        </is>
      </c>
      <c r="B16" t="inlineStr">
        <is>
          <t>פנקס.ה7</t>
        </is>
      </c>
      <c r="C16" t="n">
        <v>1234632</v>
      </c>
      <c r="D16" t="inlineStr">
        <is>
          <t xml:space="preserve"> איגרות חוב להמרה </t>
        </is>
      </c>
      <c r="E16" t="n">
        <v>116.1</v>
      </c>
      <c r="F16" t="n">
        <v>0</v>
      </c>
      <c r="I16" t="n">
        <v>110.8</v>
      </c>
      <c r="J16" t="n">
        <v>110.8</v>
      </c>
      <c r="P16" t="n">
        <v>-0.1</v>
      </c>
      <c r="Q16" t="n">
        <v>6.3</v>
      </c>
      <c r="T16" t="n">
        <v>437890</v>
      </c>
      <c r="U16" t="n">
        <v>450</v>
      </c>
      <c r="V16" t="n">
        <v>450000</v>
      </c>
      <c r="Y16" t="n">
        <v>395208000</v>
      </c>
      <c r="AC16" t="inlineStr">
        <is>
          <t>לא צמוד</t>
        </is>
      </c>
      <c r="AD16" t="n">
        <v>2.5</v>
      </c>
      <c r="AE16" s="10" t="n">
        <v>46934</v>
      </c>
      <c r="AF16" t="inlineStr">
        <is>
          <t>הפניקס</t>
        </is>
      </c>
      <c r="AG16" t="n">
        <v>767012</v>
      </c>
      <c r="AH16" t="inlineStr">
        <is>
          <t>IL0007670123</t>
        </is>
      </c>
      <c r="AI16" t="n">
        <v>187.6184</v>
      </c>
      <c r="AJ16" t="n">
        <v>19190</v>
      </c>
      <c r="AK16" s="10" t="n">
        <v>46924</v>
      </c>
      <c r="AW16" t="inlineStr">
        <is>
          <t>IL0012346321</t>
        </is>
      </c>
      <c r="AX16" t="n">
        <v>767</v>
      </c>
      <c r="AY16" s="11" t="n">
        <v>-0.06289970711307426</v>
      </c>
      <c r="AZ16" s="12" t="n">
        <v>0.1350962084418967</v>
      </c>
      <c r="BA16" s="8" t="n">
        <v>1.654366952326161</v>
      </c>
      <c r="BB16" s="8" t="n">
        <v>1.765410772874216</v>
      </c>
      <c r="BC16" s="8" t="n">
        <v>1.652054794520548</v>
      </c>
      <c r="BD16" s="11" t="n">
        <v>0.006044608172291683</v>
      </c>
    </row>
    <row r="17">
      <c r="A17" t="inlineStr">
        <is>
          <t>וויי בוקס  אג ז</t>
        </is>
      </c>
      <c r="B17" t="inlineStr">
        <is>
          <t>ובקס.ה7</t>
        </is>
      </c>
      <c r="C17" t="n">
        <v>1231463</v>
      </c>
      <c r="D17" t="inlineStr">
        <is>
          <t xml:space="preserve"> איגרות חוב להמרה </t>
        </is>
      </c>
      <c r="E17" t="n">
        <v>94.09999999999999</v>
      </c>
      <c r="F17" t="n">
        <v>0.4</v>
      </c>
      <c r="G17" t="n">
        <v>7.58</v>
      </c>
      <c r="H17" s="15" t="n">
        <v>0.4520833333333333</v>
      </c>
      <c r="I17" t="n">
        <v>100.6</v>
      </c>
      <c r="J17" t="n">
        <v>100.6</v>
      </c>
      <c r="K17" t="n">
        <v>101</v>
      </c>
      <c r="L17" t="n">
        <v>101</v>
      </c>
      <c r="M17" t="n">
        <v>0.4</v>
      </c>
      <c r="P17" t="n">
        <v>1.2</v>
      </c>
      <c r="Q17" t="n">
        <v>2.5</v>
      </c>
      <c r="R17" t="n">
        <v>3</v>
      </c>
      <c r="S17" t="n">
        <v>7500</v>
      </c>
      <c r="T17" t="n">
        <v>133798</v>
      </c>
      <c r="U17" t="n">
        <v>500</v>
      </c>
      <c r="V17" t="n">
        <v>500000</v>
      </c>
      <c r="Y17" t="n">
        <v>133000000</v>
      </c>
      <c r="AC17" t="inlineStr">
        <is>
          <t>לא צמוד</t>
        </is>
      </c>
      <c r="AD17" t="n">
        <v>5</v>
      </c>
      <c r="AE17" s="10" t="n">
        <v>47483</v>
      </c>
      <c r="AF17" t="inlineStr">
        <is>
          <t>וויי בוקס</t>
        </is>
      </c>
      <c r="AG17" t="n">
        <v>486027</v>
      </c>
      <c r="AH17" t="inlineStr">
        <is>
          <t>IL0004860271</t>
        </is>
      </c>
      <c r="AI17" t="n">
        <v>1.55</v>
      </c>
      <c r="AJ17" t="n">
        <v>77.3</v>
      </c>
      <c r="AK17" s="10" t="n">
        <v>47473</v>
      </c>
      <c r="AW17" t="inlineStr">
        <is>
          <t>IL0012314634</t>
        </is>
      </c>
      <c r="AX17" t="n">
        <v>486</v>
      </c>
      <c r="AY17" s="11" t="n">
        <v>0.07128888120484218</v>
      </c>
      <c r="AZ17" s="12" t="n">
        <v>0.8868693402328589</v>
      </c>
      <c r="BA17" s="8" t="n">
        <v>2.89225385391023</v>
      </c>
      <c r="BB17" s="8" t="n">
        <v>2.699788922160203</v>
      </c>
      <c r="BC17" s="8" t="n">
        <v>3.156164383561644</v>
      </c>
      <c r="BD17" s="11" t="n">
        <v>0.003457511167797507</v>
      </c>
    </row>
    <row r="18">
      <c r="A18" t="inlineStr">
        <is>
          <t>יסודות  אג ב</t>
        </is>
      </c>
      <c r="B18" t="inlineStr">
        <is>
          <t>יסוד.ה2</t>
        </is>
      </c>
      <c r="C18" t="n">
        <v>1218650</v>
      </c>
      <c r="D18" t="inlineStr">
        <is>
          <t xml:space="preserve"> איגרות חוב להמרה </t>
        </is>
      </c>
      <c r="E18" t="n">
        <v>91.7</v>
      </c>
      <c r="F18" t="n">
        <v>0.45</v>
      </c>
      <c r="G18" t="n">
        <v>0.45</v>
      </c>
      <c r="H18" s="15" t="n">
        <v>0.4270833333333333</v>
      </c>
      <c r="I18" t="n">
        <v>89.59999999999999</v>
      </c>
      <c r="J18" t="n">
        <v>90</v>
      </c>
      <c r="K18" t="n">
        <v>90</v>
      </c>
      <c r="L18" t="n">
        <v>90</v>
      </c>
      <c r="M18" t="n">
        <v>0.4</v>
      </c>
      <c r="P18" t="n">
        <v>0</v>
      </c>
      <c r="Q18" t="n">
        <v>-1.4</v>
      </c>
      <c r="R18" t="n">
        <v>2</v>
      </c>
      <c r="S18" t="n">
        <v>500</v>
      </c>
      <c r="T18" t="n">
        <v>26320</v>
      </c>
      <c r="U18" t="n">
        <v>560</v>
      </c>
      <c r="V18" t="n">
        <v>560000</v>
      </c>
      <c r="Y18" t="n">
        <v>29375000</v>
      </c>
      <c r="AC18" t="inlineStr">
        <is>
          <t>לא צמוד</t>
        </is>
      </c>
      <c r="AD18" t="n">
        <v>5</v>
      </c>
      <c r="AE18" s="10" t="n">
        <v>46934</v>
      </c>
      <c r="AF18" t="inlineStr">
        <is>
          <t>יסודות</t>
        </is>
      </c>
      <c r="AG18" t="n">
        <v>1188416</v>
      </c>
      <c r="AH18" t="inlineStr">
        <is>
          <t>IL0011884165</t>
        </is>
      </c>
      <c r="AI18" t="n">
        <v>4.2</v>
      </c>
      <c r="AJ18" t="n">
        <v>86</v>
      </c>
      <c r="AK18" s="10" t="n">
        <v>46924</v>
      </c>
      <c r="AW18" t="inlineStr">
        <is>
          <t>IL0012186503</t>
        </is>
      </c>
      <c r="AX18" t="n">
        <v>2386</v>
      </c>
      <c r="AY18" s="11" t="n">
        <v>0.1062462190808409</v>
      </c>
      <c r="AZ18" s="12" t="n">
        <v>3.478372093023256</v>
      </c>
      <c r="BA18" s="8" t="n">
        <v>1.626670082421111</v>
      </c>
      <c r="BB18" s="8" t="n">
        <v>1.470441258341819</v>
      </c>
      <c r="BC18" s="8" t="n">
        <v>1.652054794520548</v>
      </c>
      <c r="BD18" s="11" t="n">
        <v>0.006147528074725609</v>
      </c>
    </row>
    <row r="19">
      <c r="A19" t="inlineStr">
        <is>
          <t>ישראייר אג א</t>
        </is>
      </c>
      <c r="B19" t="inlineStr">
        <is>
          <t>ישרג.ה1</t>
        </is>
      </c>
      <c r="C19" t="n">
        <v>1204767</v>
      </c>
      <c r="D19" t="inlineStr">
        <is>
          <t xml:space="preserve"> איגרות חוב להמרה </t>
        </is>
      </c>
      <c r="E19" t="n">
        <v>114.5</v>
      </c>
      <c r="F19" t="n">
        <v>0</v>
      </c>
      <c r="I19" t="n">
        <v>105</v>
      </c>
      <c r="J19" t="n">
        <v>105</v>
      </c>
      <c r="P19" t="n">
        <v>-1.1</v>
      </c>
      <c r="Q19" t="n">
        <v>-1.4</v>
      </c>
      <c r="T19" t="n">
        <v>105000</v>
      </c>
      <c r="U19" t="n">
        <v>470</v>
      </c>
      <c r="V19" t="n">
        <v>470000</v>
      </c>
      <c r="Y19" t="n">
        <v>100000000</v>
      </c>
      <c r="AC19" t="inlineStr">
        <is>
          <t>לא צמוד</t>
        </is>
      </c>
      <c r="AD19" t="n">
        <v>4.75</v>
      </c>
      <c r="AE19" s="10" t="n">
        <v>47542</v>
      </c>
      <c r="AF19" t="inlineStr">
        <is>
          <t>ישראייר גרופ</t>
        </is>
      </c>
      <c r="AG19" t="n">
        <v>1187194</v>
      </c>
      <c r="AH19" t="inlineStr">
        <is>
          <t>IL0011871949</t>
        </is>
      </c>
      <c r="AI19" t="n">
        <v>2.1</v>
      </c>
      <c r="AJ19" t="n">
        <v>183.1</v>
      </c>
      <c r="AK19" s="10" t="n">
        <v>47532</v>
      </c>
      <c r="AW19" t="inlineStr">
        <is>
          <t>IL0012047671</t>
        </is>
      </c>
      <c r="AX19" t="n">
        <v>1238</v>
      </c>
      <c r="AY19" s="11" t="n">
        <v>0.003758286470666979</v>
      </c>
      <c r="AZ19" s="12" t="n">
        <v>0.3132168214090663</v>
      </c>
      <c r="BA19" s="8" t="n">
        <v>3.101081341519703</v>
      </c>
      <c r="BB19" s="8" t="n">
        <v>3.089470227362678</v>
      </c>
      <c r="BC19" s="8" t="n">
        <v>3.317808219178082</v>
      </c>
      <c r="BD19" s="11" t="n">
        <v>0.003224681618670293</v>
      </c>
    </row>
    <row r="20">
      <c r="A20" t="inlineStr">
        <is>
          <t>כלל ביטוח  אג ב</t>
        </is>
      </c>
      <c r="B20" t="inlineStr">
        <is>
          <t>כללבט.ה2</t>
        </is>
      </c>
      <c r="C20" t="n">
        <v>1193499</v>
      </c>
      <c r="D20" t="inlineStr">
        <is>
          <t xml:space="preserve"> איגרות חוב להמרה </t>
        </is>
      </c>
      <c r="E20" t="n">
        <v>383.1</v>
      </c>
      <c r="F20" t="n">
        <v>0</v>
      </c>
      <c r="I20" t="n">
        <v>291</v>
      </c>
      <c r="J20" t="n">
        <v>291</v>
      </c>
      <c r="P20" t="n">
        <v>-0.1</v>
      </c>
      <c r="Q20" t="n">
        <v>17</v>
      </c>
      <c r="T20" t="n">
        <v>253107</v>
      </c>
      <c r="U20" t="n">
        <v>170</v>
      </c>
      <c r="V20" t="n">
        <v>170000</v>
      </c>
      <c r="Y20" t="n">
        <v>86978386</v>
      </c>
      <c r="AC20" t="inlineStr">
        <is>
          <t>לא צמוד</t>
        </is>
      </c>
      <c r="AD20" t="n">
        <v>2.8</v>
      </c>
      <c r="AE20" s="10" t="n">
        <v>46811</v>
      </c>
      <c r="AF20" t="inlineStr">
        <is>
          <t>כלל עסקי ביטוח</t>
        </is>
      </c>
      <c r="AG20" t="n">
        <v>224014</v>
      </c>
      <c r="AH20" t="inlineStr">
        <is>
          <t>IL0002240146</t>
        </is>
      </c>
      <c r="AI20" t="n">
        <v>80.28818</v>
      </c>
      <c r="AJ20" t="n">
        <v>30790</v>
      </c>
      <c r="AK20" s="10" t="n">
        <v>46801</v>
      </c>
      <c r="AW20" t="inlineStr">
        <is>
          <t>IL0011934994</t>
        </is>
      </c>
      <c r="AX20" t="n">
        <v>224</v>
      </c>
      <c r="AY20" s="11" t="n">
        <v>-0.6231414470080808</v>
      </c>
      <c r="AZ20" s="12" t="n">
        <v>-0.00102625014615132</v>
      </c>
      <c r="BA20" s="8" t="n">
        <v>1.332305415682681</v>
      </c>
      <c r="BB20" s="8" t="n">
        <v>3.535293029985309</v>
      </c>
      <c r="BC20" s="8" t="n">
        <v>1.315068493150685</v>
      </c>
      <c r="BD20" s="11" t="n">
        <v>0.007505786497817351</v>
      </c>
      <c r="BE20" s="1" t="n"/>
      <c r="BF20" s="1" t="n"/>
    </row>
    <row r="21">
      <c r="A21" t="inlineStr">
        <is>
          <t>לוזון קב   אג ט</t>
        </is>
      </c>
      <c r="B21" t="inlineStr">
        <is>
          <t>לוזנ.ה9</t>
        </is>
      </c>
      <c r="C21" t="n">
        <v>4730180</v>
      </c>
      <c r="D21" t="inlineStr">
        <is>
          <t xml:space="preserve"> איגרות חוב להמרה </t>
        </is>
      </c>
      <c r="E21" t="n">
        <v>100.4</v>
      </c>
      <c r="F21" t="n">
        <v>0</v>
      </c>
      <c r="I21" t="n">
        <v>99.2</v>
      </c>
      <c r="J21" t="n">
        <v>99.2</v>
      </c>
      <c r="P21" t="n">
        <v>0.2</v>
      </c>
      <c r="Q21" t="n">
        <v>2</v>
      </c>
      <c r="T21" t="n">
        <v>21814</v>
      </c>
      <c r="U21" t="n">
        <v>510</v>
      </c>
      <c r="V21" t="n">
        <v>510000</v>
      </c>
      <c r="Y21" t="n">
        <v>21990280</v>
      </c>
      <c r="AC21" t="inlineStr">
        <is>
          <t>לא צמוד</t>
        </is>
      </c>
      <c r="AD21" t="n">
        <v>3.6</v>
      </c>
      <c r="AE21" s="10" t="n">
        <v>46569</v>
      </c>
      <c r="AF21" t="inlineStr">
        <is>
          <t>לוזון קבוצה</t>
        </is>
      </c>
      <c r="AG21" t="n">
        <v>473017</v>
      </c>
      <c r="AH21" t="inlineStr">
        <is>
          <t>IL0004730177</t>
        </is>
      </c>
      <c r="AI21" t="n">
        <v>6.72026</v>
      </c>
      <c r="AJ21" t="n">
        <v>539</v>
      </c>
      <c r="AK21" s="10" t="n">
        <v>46559</v>
      </c>
      <c r="AW21" t="inlineStr">
        <is>
          <t>IL0047301804</t>
        </is>
      </c>
      <c r="AX21" t="n">
        <v>473</v>
      </c>
      <c r="AY21" s="11" t="n">
        <v>0.02965211744458519</v>
      </c>
      <c r="AZ21" s="12" t="n">
        <v>0.2517886901669759</v>
      </c>
      <c r="BA21" s="8" t="n">
        <v>0.6794520547945206</v>
      </c>
      <c r="BB21" s="8" t="n">
        <v>0.6598850653372138</v>
      </c>
      <c r="BC21" s="8" t="n">
        <v>0.6520547945205479</v>
      </c>
      <c r="BD21" s="11" t="n">
        <v>0.01471774193548387</v>
      </c>
      <c r="BE21" s="1" t="n"/>
      <c r="BF21" s="1" t="n"/>
    </row>
    <row r="22" customFormat="1" s="1">
      <c r="A22" t="inlineStr">
        <is>
          <t>מודיעין    אג ב</t>
        </is>
      </c>
      <c r="B22" t="inlineStr">
        <is>
          <t>מדע.ה2</t>
        </is>
      </c>
      <c r="C22" t="n">
        <v>1210442</v>
      </c>
      <c r="D22" t="inlineStr">
        <is>
          <t xml:space="preserve"> איגרות חוב להמרה </t>
        </is>
      </c>
      <c r="E22" t="n">
        <v>105.6</v>
      </c>
      <c r="F22" t="n">
        <v>1.75</v>
      </c>
      <c r="G22" t="n">
        <v>195.53</v>
      </c>
      <c r="H22" s="15" t="n">
        <v>0.4576388888888889</v>
      </c>
      <c r="I22" t="n">
        <v>85.5</v>
      </c>
      <c r="J22" t="n">
        <v>86</v>
      </c>
      <c r="K22" t="n">
        <v>87.59999999999999</v>
      </c>
      <c r="L22" t="n">
        <v>86</v>
      </c>
      <c r="M22" t="n">
        <v>1.5</v>
      </c>
      <c r="P22" t="n">
        <v>1.2</v>
      </c>
      <c r="Q22" t="n">
        <v>5.2</v>
      </c>
      <c r="R22" t="n">
        <v>23</v>
      </c>
      <c r="S22" t="n">
        <v>224689</v>
      </c>
      <c r="T22" t="n">
        <v>98168</v>
      </c>
      <c r="U22" t="n">
        <v>590</v>
      </c>
      <c r="V22" t="n">
        <v>590000</v>
      </c>
      <c r="Y22" t="n">
        <v>114816153</v>
      </c>
      <c r="AC22" t="inlineStr">
        <is>
          <t>דולר</t>
        </is>
      </c>
      <c r="AD22" t="n">
        <v>7</v>
      </c>
      <c r="AE22" s="10" t="n">
        <v>47027</v>
      </c>
      <c r="AF22" t="inlineStr">
        <is>
          <t>מודיעין   יהש</t>
        </is>
      </c>
      <c r="AG22" t="n">
        <v>345017</v>
      </c>
      <c r="AH22" t="inlineStr">
        <is>
          <t>IL0003450173</t>
        </is>
      </c>
      <c r="AI22" t="n">
        <v>2.3</v>
      </c>
      <c r="AJ22" t="n">
        <v>232</v>
      </c>
      <c r="AK22" s="10" t="n">
        <v>47021</v>
      </c>
      <c r="AM22" s="10" t="n">
        <v>45518</v>
      </c>
      <c r="AW22" t="inlineStr">
        <is>
          <t>IL0012104423</t>
        </is>
      </c>
      <c r="AX22" t="n">
        <v>345</v>
      </c>
      <c r="AY22" s="11" t="n">
        <v>0.0392809443355189</v>
      </c>
      <c r="AZ22" s="12" t="n">
        <v>0.04689655172413776</v>
      </c>
      <c r="BA22" s="8" t="n">
        <v>1.867844904567759</v>
      </c>
      <c r="BB22" s="8" t="n">
        <v>1.797247332156173</v>
      </c>
      <c r="BC22" s="8" t="n">
        <v>1.917808219178082</v>
      </c>
      <c r="BD22" s="11" t="n">
        <v>0.00535376356759884</v>
      </c>
    </row>
    <row r="23">
      <c r="A23" t="inlineStr">
        <is>
          <t>מטריקס     אג 2</t>
        </is>
      </c>
      <c r="B23" t="inlineStr">
        <is>
          <t>מטרקס.ה2</t>
        </is>
      </c>
      <c r="C23" t="n">
        <v>1235969</v>
      </c>
      <c r="D23" t="inlineStr">
        <is>
          <t xml:space="preserve"> איגרות חוב להמרה </t>
        </is>
      </c>
      <c r="E23" t="n">
        <v>92.90000000000001</v>
      </c>
      <c r="F23" t="n">
        <v>0</v>
      </c>
      <c r="I23" t="n">
        <v>89.7</v>
      </c>
      <c r="J23" t="n">
        <v>89.7</v>
      </c>
      <c r="P23" t="n">
        <v>1.2</v>
      </c>
      <c r="Q23" t="n">
        <v>-11.4</v>
      </c>
      <c r="T23" t="n">
        <v>266434</v>
      </c>
      <c r="U23" t="n">
        <v>560</v>
      </c>
      <c r="V23" t="n">
        <v>560000</v>
      </c>
      <c r="Y23" t="n">
        <v>297028000</v>
      </c>
      <c r="AC23" t="inlineStr">
        <is>
          <t>לא צמוד</t>
        </is>
      </c>
      <c r="AD23" t="n">
        <v>0.5</v>
      </c>
      <c r="AE23" s="10" t="n">
        <v>47881</v>
      </c>
      <c r="AF23" t="inlineStr">
        <is>
          <t>מטריקס</t>
        </is>
      </c>
      <c r="AG23" t="n">
        <v>445015</v>
      </c>
      <c r="AH23" t="inlineStr">
        <is>
          <t>IL0004450156</t>
        </is>
      </c>
      <c r="AI23" t="n">
        <v>176.17507</v>
      </c>
      <c r="AJ23" t="n">
        <v>11570</v>
      </c>
      <c r="AK23" s="10" t="n">
        <v>47870</v>
      </c>
      <c r="AW23" t="inlineStr">
        <is>
          <t>IL0012359696</t>
        </is>
      </c>
      <c r="AX23" t="n">
        <v>445</v>
      </c>
      <c r="AY23" s="11" t="n">
        <v>0.02262333348886838</v>
      </c>
      <c r="AZ23" s="12" t="n">
        <v>0.414577701210026</v>
      </c>
      <c r="BA23" s="8" t="n">
        <v>4.219112031252835</v>
      </c>
      <c r="BB23" s="8" t="n">
        <v>4.125773286297463</v>
      </c>
      <c r="BC23" s="8" t="n">
        <v>4.243835616438356</v>
      </c>
      <c r="BD23" s="11" t="n">
        <v>0.002370166974928744</v>
      </c>
    </row>
    <row r="24" customFormat="1" s="1">
      <c r="A24" t="inlineStr">
        <is>
          <t>מידאס      אג 2</t>
        </is>
      </c>
      <c r="B24" t="inlineStr">
        <is>
          <t>מדאס.ה2</t>
        </is>
      </c>
      <c r="C24" t="n">
        <v>1225770</v>
      </c>
      <c r="D24" t="inlineStr">
        <is>
          <t xml:space="preserve"> איגרות חוב להמרה </t>
        </is>
      </c>
      <c r="E24" t="n">
        <v>65</v>
      </c>
      <c r="F24" t="n">
        <v>0</v>
      </c>
      <c r="I24" t="n">
        <v>75.90000000000001</v>
      </c>
      <c r="J24" t="n">
        <v>75.90000000000001</v>
      </c>
      <c r="P24" t="n">
        <v>-2.6</v>
      </c>
      <c r="Q24" t="n">
        <v>-19.8</v>
      </c>
      <c r="T24" t="n">
        <v>30360</v>
      </c>
      <c r="U24" t="n">
        <v>640</v>
      </c>
      <c r="V24" t="n">
        <v>640000</v>
      </c>
      <c r="Y24" t="n">
        <v>40000000</v>
      </c>
      <c r="AC24" t="inlineStr">
        <is>
          <t>לא צמוד</t>
        </is>
      </c>
      <c r="AD24" t="n">
        <v>5.5</v>
      </c>
      <c r="AE24" s="10" t="n">
        <v>47483</v>
      </c>
      <c r="AF24" t="inlineStr">
        <is>
          <t>מידאס</t>
        </is>
      </c>
      <c r="AG24" t="n">
        <v>544015</v>
      </c>
      <c r="AH24" t="inlineStr">
        <is>
          <t>IL0005440156</t>
        </is>
      </c>
      <c r="AI24" t="n">
        <v>0.6464574</v>
      </c>
      <c r="AJ24" t="n">
        <v>28.6</v>
      </c>
      <c r="AK24" s="10" t="n">
        <v>47473</v>
      </c>
      <c r="AW24" t="inlineStr">
        <is>
          <t>IL0012257700</t>
        </is>
      </c>
      <c r="AX24" t="n">
        <v>544</v>
      </c>
      <c r="AY24" s="11" t="n">
        <v>0.2184901964175663</v>
      </c>
      <c r="AZ24" s="12" t="n">
        <v>0.4692213636363636</v>
      </c>
      <c r="BA24" s="8" t="n">
        <v>2.775013958609027</v>
      </c>
      <c r="BB24" s="8" t="n">
        <v>2.277420012707311</v>
      </c>
      <c r="BC24" s="8" t="n">
        <v>3.156164383561644</v>
      </c>
      <c r="BD24" s="11" t="n">
        <v>0.003603585477102425</v>
      </c>
    </row>
    <row r="25" customFormat="1" s="1">
      <c r="A25" t="inlineStr">
        <is>
          <t>מיה דינמיקס אג1</t>
        </is>
      </c>
      <c r="B25" t="inlineStr">
        <is>
          <t>מיה.ה1</t>
        </is>
      </c>
      <c r="C25" t="n">
        <v>1224617</v>
      </c>
      <c r="D25" t="inlineStr">
        <is>
          <t xml:space="preserve"> איגרות חוב להמרה </t>
        </is>
      </c>
      <c r="E25" t="n">
        <v>32</v>
      </c>
      <c r="F25" t="n">
        <v>0</v>
      </c>
      <c r="I25" t="n">
        <v>81.40000000000001</v>
      </c>
      <c r="J25" t="n">
        <v>81.40000000000001</v>
      </c>
      <c r="P25" t="n">
        <v>-0.7</v>
      </c>
      <c r="Q25" t="n">
        <v>-19.3</v>
      </c>
      <c r="T25" t="n">
        <v>32560</v>
      </c>
      <c r="U25" t="n">
        <v>610</v>
      </c>
      <c r="V25" t="n">
        <v>610000</v>
      </c>
      <c r="Y25" t="n">
        <v>40000000</v>
      </c>
      <c r="AC25" t="inlineStr">
        <is>
          <t>לא צמוד</t>
        </is>
      </c>
      <c r="AD25" t="n">
        <v>5</v>
      </c>
      <c r="AE25" s="10" t="n">
        <v>47483</v>
      </c>
      <c r="AF25" t="inlineStr">
        <is>
          <t>מיה דיינמיקס</t>
        </is>
      </c>
      <c r="AG25" t="n">
        <v>494013</v>
      </c>
      <c r="AH25" t="inlineStr">
        <is>
          <t>IL0004940131</t>
        </is>
      </c>
      <c r="AI25" t="n">
        <v>1</v>
      </c>
      <c r="AJ25" t="n">
        <v>27</v>
      </c>
      <c r="AK25" s="10" t="n">
        <v>47473</v>
      </c>
      <c r="AW25" t="inlineStr">
        <is>
          <t>IL0012246174</t>
        </is>
      </c>
      <c r="AX25" t="n">
        <v>494</v>
      </c>
      <c r="AY25" s="11" t="n">
        <v>0.5411827851846346</v>
      </c>
      <c r="AZ25" s="12" t="n">
        <v>0.1851851851851851</v>
      </c>
      <c r="BA25" s="8" t="n">
        <v>2.576361669121731</v>
      </c>
      <c r="BB25" s="8" t="n">
        <v>1.671678203188002</v>
      </c>
      <c r="BC25" s="8" t="n">
        <v>3.156164383561644</v>
      </c>
      <c r="BD25" s="11" t="n">
        <v>0.003881442625021257</v>
      </c>
      <c r="BF25" s="16" t="n"/>
    </row>
    <row r="26" customFormat="1" s="1">
      <c r="A26" t="inlineStr">
        <is>
          <t>מירלנד  אג ט-ש</t>
        </is>
      </c>
      <c r="B26" t="inlineStr">
        <is>
          <t>מלד.ה9-ש</t>
        </is>
      </c>
      <c r="C26" t="n">
        <v>1182559</v>
      </c>
      <c r="D26" t="inlineStr">
        <is>
          <t xml:space="preserve"> איגרות חוב להמרה </t>
        </is>
      </c>
      <c r="E26" t="n">
        <v>4</v>
      </c>
      <c r="F26" t="n">
        <v>0</v>
      </c>
      <c r="I26" t="n">
        <v>4</v>
      </c>
      <c r="J26" t="n">
        <v>4</v>
      </c>
      <c r="P26" t="n">
        <v>0</v>
      </c>
      <c r="Q26" t="n">
        <v>-11.1</v>
      </c>
      <c r="T26" t="n">
        <v>3626</v>
      </c>
      <c r="U26" t="n">
        <v>13000</v>
      </c>
      <c r="V26" t="n">
        <v>4530000</v>
      </c>
      <c r="Y26" t="n">
        <v>90644549</v>
      </c>
      <c r="AA26" s="10" t="n">
        <v>44966</v>
      </c>
      <c r="AC26" t="inlineStr">
        <is>
          <t>לא צמוד</t>
        </is>
      </c>
      <c r="AD26" t="n">
        <v>1</v>
      </c>
      <c r="AE26" s="10" t="n">
        <v>46387</v>
      </c>
      <c r="AF26" t="inlineStr">
        <is>
          <t>מירלנד-ש</t>
        </is>
      </c>
      <c r="AG26" t="n">
        <v>1108638</v>
      </c>
      <c r="AH26" t="inlineStr">
        <is>
          <t>CY0106902113</t>
        </is>
      </c>
      <c r="AI26" t="n">
        <v>0.55865</v>
      </c>
      <c r="AJ26" t="n">
        <v>1.9</v>
      </c>
      <c r="AK26" s="10" t="n">
        <v>46377</v>
      </c>
      <c r="AW26" t="inlineStr">
        <is>
          <t>IL0011825598</t>
        </is>
      </c>
      <c r="AX26" t="n">
        <v>1502</v>
      </c>
      <c r="AY26" s="11" t="n">
        <v>110.3734043103003</v>
      </c>
      <c r="AZ26" s="12" t="n">
        <v>0.1761052631578948</v>
      </c>
      <c r="BA26" s="8" t="n">
        <v>0.1808219178082192</v>
      </c>
      <c r="BB26" s="8" t="n">
        <v>0.001623564610671562</v>
      </c>
      <c r="BC26" s="8" t="n">
        <v>0.1534246575342466</v>
      </c>
      <c r="BD26" s="11" t="n">
        <v>0.05530303030303031</v>
      </c>
    </row>
    <row r="27">
      <c r="A27" t="inlineStr">
        <is>
          <t>מצלאוי-ס   אג ז</t>
        </is>
      </c>
      <c r="B27" t="inlineStr">
        <is>
          <t>מצל.ה7-ס</t>
        </is>
      </c>
      <c r="C27" t="n">
        <v>1181676</v>
      </c>
      <c r="D27" t="inlineStr">
        <is>
          <t xml:space="preserve"> איגרות חוב להמרה </t>
        </is>
      </c>
      <c r="E27" t="n">
        <v>99.7</v>
      </c>
      <c r="F27" t="n">
        <v>0</v>
      </c>
      <c r="I27" t="n">
        <v>98.59999999999999</v>
      </c>
      <c r="J27" t="n">
        <v>98.59999999999999</v>
      </c>
      <c r="P27" t="n">
        <v>-0.1</v>
      </c>
      <c r="Q27" t="n">
        <v>3.1</v>
      </c>
      <c r="T27" t="n">
        <v>29580</v>
      </c>
      <c r="U27" t="n">
        <v>510</v>
      </c>
      <c r="V27" t="n">
        <v>510000</v>
      </c>
      <c r="Y27" t="n">
        <v>29999937</v>
      </c>
      <c r="AC27" t="inlineStr">
        <is>
          <t>לא צמוד</t>
        </is>
      </c>
      <c r="AD27" t="n">
        <v>2.75</v>
      </c>
      <c r="AE27" s="10" t="n">
        <v>46385</v>
      </c>
      <c r="AF27" t="inlineStr">
        <is>
          <t>מצלאוי</t>
        </is>
      </c>
      <c r="AG27" t="n">
        <v>1106749</v>
      </c>
      <c r="AH27" t="inlineStr">
        <is>
          <t>IL0011067498</t>
        </is>
      </c>
      <c r="AI27" t="n">
        <v>18.60784</v>
      </c>
      <c r="AJ27" t="n">
        <v>1139</v>
      </c>
      <c r="AK27" s="10" t="n">
        <v>46377</v>
      </c>
      <c r="AW27" t="inlineStr">
        <is>
          <t>IL0011816761</t>
        </is>
      </c>
      <c r="AX27" t="n">
        <v>1484</v>
      </c>
      <c r="AY27" s="11" t="n">
        <v>0.04374848864468375</v>
      </c>
      <c r="AZ27" s="12" t="n">
        <v>0.6287986374012291</v>
      </c>
      <c r="BA27" s="8" t="n">
        <v>0.1753424657534246</v>
      </c>
      <c r="BB27" s="8" t="n">
        <v>0.1679930248149229</v>
      </c>
      <c r="BC27" s="8" t="n">
        <v>0.1534246575342466</v>
      </c>
      <c r="BD27" s="11" t="n">
        <v>0.05703125000000001</v>
      </c>
    </row>
    <row r="28" customFormat="1" s="1">
      <c r="A28" t="inlineStr">
        <is>
          <t>נאוויטס פט אג ד</t>
        </is>
      </c>
      <c r="B28" t="inlineStr">
        <is>
          <t>נאפט.ה4</t>
        </is>
      </c>
      <c r="C28" t="n">
        <v>1181627</v>
      </c>
      <c r="D28" t="inlineStr">
        <is>
          <t xml:space="preserve"> איגרות חוב להמרה </t>
        </is>
      </c>
      <c r="E28" t="n">
        <v>474.7</v>
      </c>
      <c r="F28" t="n">
        <v>0</v>
      </c>
      <c r="G28" t="n">
        <v>0.02</v>
      </c>
      <c r="H28" s="15" t="n">
        <v>0.4270833333333333</v>
      </c>
      <c r="I28" t="n">
        <v>481.1</v>
      </c>
      <c r="J28" t="n">
        <v>481.1</v>
      </c>
      <c r="K28" t="n">
        <v>481.1</v>
      </c>
      <c r="L28" t="n">
        <v>481.1</v>
      </c>
      <c r="P28" t="n">
        <v>-5.7</v>
      </c>
      <c r="Q28" t="n">
        <v>11.2</v>
      </c>
      <c r="R28" t="n">
        <v>1</v>
      </c>
      <c r="S28" t="n">
        <v>5</v>
      </c>
      <c r="T28" t="n">
        <v>325152</v>
      </c>
      <c r="U28" t="n">
        <v>98</v>
      </c>
      <c r="V28" t="n">
        <v>98000</v>
      </c>
      <c r="Y28" t="n">
        <v>67585118</v>
      </c>
      <c r="AC28" t="inlineStr">
        <is>
          <t>דולר</t>
        </is>
      </c>
      <c r="AD28" t="n">
        <v>5</v>
      </c>
      <c r="AE28" s="10" t="n">
        <v>46387</v>
      </c>
      <c r="AF28" t="inlineStr">
        <is>
          <t>נאוויטס פטר יהש</t>
        </is>
      </c>
      <c r="AG28" t="n">
        <v>1141969</v>
      </c>
      <c r="AH28" t="inlineStr">
        <is>
          <t>IL0011419699</t>
        </is>
      </c>
      <c r="AI28" t="n">
        <v>26.18372</v>
      </c>
      <c r="AJ28" t="n">
        <v>12060</v>
      </c>
      <c r="AK28" s="10" t="n">
        <v>46377</v>
      </c>
      <c r="AM28" s="10" t="n">
        <v>44508</v>
      </c>
      <c r="AW28" t="inlineStr">
        <is>
          <t>IL0011816274</t>
        </is>
      </c>
      <c r="AX28" t="n">
        <v>1688</v>
      </c>
      <c r="AY28" s="11" t="n">
        <v>-4.31750686849093</v>
      </c>
      <c r="AZ28" s="12" t="n">
        <v>0.03063116782752906</v>
      </c>
      <c r="BA28" s="8" t="n"/>
      <c r="BB28" s="8" t="n"/>
      <c r="BC28" s="8" t="n">
        <v>0.1534246575342466</v>
      </c>
      <c r="BD28" s="11" t="n"/>
    </row>
    <row r="29" customFormat="1" s="1">
      <c r="A29" t="inlineStr">
        <is>
          <t>נופר אנרג  אג ב</t>
        </is>
      </c>
      <c r="B29" t="inlineStr">
        <is>
          <t>נופר.ה2</t>
        </is>
      </c>
      <c r="C29" t="n">
        <v>1198035</v>
      </c>
      <c r="D29" t="inlineStr">
        <is>
          <t xml:space="preserve"> איגרות חוב להמרה </t>
        </is>
      </c>
      <c r="E29" t="n">
        <v>139.9</v>
      </c>
      <c r="F29" t="n">
        <v>0</v>
      </c>
      <c r="G29" t="n">
        <v>0.26</v>
      </c>
      <c r="H29" s="15" t="n">
        <v>0.4270833333333333</v>
      </c>
      <c r="I29" t="n">
        <v>213.2</v>
      </c>
      <c r="J29" t="n">
        <v>213.2</v>
      </c>
      <c r="K29" t="n">
        <v>213.2</v>
      </c>
      <c r="L29" t="n">
        <v>213.2</v>
      </c>
      <c r="P29" t="n">
        <v>-4.9</v>
      </c>
      <c r="Q29" t="n">
        <v>67.09999999999999</v>
      </c>
      <c r="R29" t="n">
        <v>1</v>
      </c>
      <c r="S29" t="n">
        <v>122</v>
      </c>
      <c r="T29" t="n">
        <v>22120</v>
      </c>
      <c r="U29" t="n">
        <v>220</v>
      </c>
      <c r="V29" t="n">
        <v>220000</v>
      </c>
      <c r="Y29" t="n">
        <v>10375338</v>
      </c>
      <c r="AC29" t="inlineStr">
        <is>
          <t>לא צמוד</t>
        </is>
      </c>
      <c r="AD29" t="n">
        <v>5</v>
      </c>
      <c r="AE29" s="10" t="n">
        <v>47300</v>
      </c>
      <c r="AF29" t="inlineStr">
        <is>
          <t>נופר אנרג'י</t>
        </is>
      </c>
      <c r="AG29" t="n">
        <v>1170877</v>
      </c>
      <c r="AH29" t="inlineStr">
        <is>
          <t>IL0011708778</t>
        </is>
      </c>
      <c r="AI29" t="n">
        <v>115.1</v>
      </c>
      <c r="AJ29" t="n">
        <v>14320</v>
      </c>
      <c r="AK29" s="10" t="n">
        <v>47289</v>
      </c>
      <c r="AW29" t="inlineStr">
        <is>
          <t>IL0011980351</t>
        </is>
      </c>
      <c r="AX29" t="n">
        <v>1831</v>
      </c>
      <c r="AY29" s="11" t="n">
        <v>-0.07790914251010604</v>
      </c>
      <c r="AZ29" s="12" t="n">
        <v>0.1244755586592179</v>
      </c>
      <c r="BA29" s="8" t="n">
        <v>2.564286301989853</v>
      </c>
      <c r="BB29" s="8" t="n">
        <v>2.780947540213473</v>
      </c>
      <c r="BC29" s="8" t="n">
        <v>2.652054794520548</v>
      </c>
      <c r="BD29" s="11" t="n">
        <v>0.003899720554697863</v>
      </c>
    </row>
    <row r="30">
      <c r="A30" t="inlineStr">
        <is>
          <t>סופרין     אג א</t>
        </is>
      </c>
      <c r="B30" t="inlineStr">
        <is>
          <t>ספרן.ה1</t>
        </is>
      </c>
      <c r="C30" t="n">
        <v>1197748</v>
      </c>
      <c r="D30" t="inlineStr">
        <is>
          <t xml:space="preserve"> איגרות חוב להמרה </t>
        </is>
      </c>
      <c r="E30" t="n">
        <v>98.59999999999999</v>
      </c>
      <c r="F30" t="n">
        <v>0.1</v>
      </c>
      <c r="G30" t="n">
        <v>74.84999999999999</v>
      </c>
      <c r="H30" s="15" t="n">
        <v>0.44375</v>
      </c>
      <c r="I30" t="n">
        <v>99.7</v>
      </c>
      <c r="J30" t="n">
        <v>99.7</v>
      </c>
      <c r="K30" t="n">
        <v>99.8</v>
      </c>
      <c r="L30" t="n">
        <v>99.8</v>
      </c>
      <c r="M30" t="n">
        <v>0.1</v>
      </c>
      <c r="P30" t="n">
        <v>0</v>
      </c>
      <c r="Q30" t="n">
        <v>1</v>
      </c>
      <c r="R30" t="n">
        <v>5</v>
      </c>
      <c r="S30" t="n">
        <v>75000</v>
      </c>
      <c r="T30" t="n">
        <v>40334</v>
      </c>
      <c r="U30" t="n">
        <v>500</v>
      </c>
      <c r="V30" t="n">
        <v>500000</v>
      </c>
      <c r="Y30" t="n">
        <v>40455000</v>
      </c>
      <c r="AC30" t="inlineStr">
        <is>
          <t>לא צמוד</t>
        </is>
      </c>
      <c r="AD30" t="n">
        <v>5.5</v>
      </c>
      <c r="AE30" s="10" t="n">
        <v>47300</v>
      </c>
      <c r="AF30" t="inlineStr">
        <is>
          <t>סופרין</t>
        </is>
      </c>
      <c r="AG30" t="n">
        <v>1181569</v>
      </c>
      <c r="AH30" t="inlineStr">
        <is>
          <t>IL0011815698</t>
        </is>
      </c>
      <c r="AI30" t="n">
        <v>9.75253</v>
      </c>
      <c r="AJ30" t="n">
        <v>540.6</v>
      </c>
      <c r="AK30" s="10" t="n">
        <v>47289</v>
      </c>
      <c r="AW30" t="inlineStr">
        <is>
          <t>IL0011977480</t>
        </is>
      </c>
      <c r="AX30" t="n">
        <v>1974</v>
      </c>
      <c r="AY30" s="11" t="n">
        <v>0.06067168668903702</v>
      </c>
      <c r="AZ30" s="12" t="n">
        <v>0.778763333333333</v>
      </c>
      <c r="BA30" s="8" t="n">
        <v>2.52451028221401</v>
      </c>
      <c r="BB30" s="8" t="n">
        <v>2.380105280357252</v>
      </c>
      <c r="BC30" s="8" t="n">
        <v>2.652054794520548</v>
      </c>
      <c r="BD30" s="11" t="n">
        <v>0.003961164298063362</v>
      </c>
      <c r="BE30" s="1" t="n"/>
      <c r="BF30" s="1" t="n"/>
    </row>
    <row r="31">
      <c r="A31" t="inlineStr">
        <is>
          <t>פטרוטקס    אג ב</t>
        </is>
      </c>
      <c r="B31" t="inlineStr">
        <is>
          <t>פטקס.ה2</t>
        </is>
      </c>
      <c r="C31" t="n">
        <v>1169648</v>
      </c>
      <c r="D31" t="inlineStr">
        <is>
          <t xml:space="preserve"> איגרות חוב להמרה </t>
        </is>
      </c>
      <c r="E31" t="n">
        <v>96.5</v>
      </c>
      <c r="F31" t="n">
        <v>0</v>
      </c>
      <c r="I31" t="n">
        <v>95.3</v>
      </c>
      <c r="J31" t="n">
        <v>95.3</v>
      </c>
      <c r="P31" t="n">
        <v>1.2</v>
      </c>
      <c r="Q31" t="n">
        <v>3.2</v>
      </c>
      <c r="T31" t="n">
        <v>15078</v>
      </c>
      <c r="U31" t="n">
        <v>530</v>
      </c>
      <c r="V31" t="n">
        <v>530000</v>
      </c>
      <c r="Y31" t="n">
        <v>15821112</v>
      </c>
      <c r="AC31" t="inlineStr">
        <is>
          <t>דולר</t>
        </is>
      </c>
      <c r="AD31" t="n">
        <v>6.34254</v>
      </c>
      <c r="AE31" s="10" t="n">
        <v>47143</v>
      </c>
      <c r="AF31" t="inlineStr">
        <is>
          <t>פטרוטקס יהש</t>
        </is>
      </c>
      <c r="AG31" t="n">
        <v>1099761</v>
      </c>
      <c r="AH31" t="inlineStr">
        <is>
          <t>IL0010997612</t>
        </is>
      </c>
      <c r="AI31" t="n">
        <v>0.9284102</v>
      </c>
      <c r="AJ31" t="n">
        <v>149.7</v>
      </c>
      <c r="AK31" s="10" t="n">
        <v>47133</v>
      </c>
      <c r="AM31" s="10" t="n">
        <v>44141</v>
      </c>
      <c r="AW31" t="inlineStr">
        <is>
          <t>IL0011696486</t>
        </is>
      </c>
      <c r="AX31" t="n">
        <v>1369</v>
      </c>
      <c r="AY31" s="11" t="n">
        <v>0.08082813361015354</v>
      </c>
      <c r="AZ31" s="12" t="n">
        <v>-0.401525822979292</v>
      </c>
      <c r="BA31" s="8" t="n">
        <v>2.069609346274763</v>
      </c>
      <c r="BB31" s="8" t="n">
        <v>1.914836671915551</v>
      </c>
      <c r="BC31" s="8" t="n">
        <v>2.224657534246576</v>
      </c>
      <c r="BD31" s="11" t="n">
        <v>0.00483182974506745</v>
      </c>
    </row>
    <row r="32">
      <c r="A32" t="inlineStr">
        <is>
          <t>פתאל החזקאג 1-ס</t>
        </is>
      </c>
      <c r="B32" t="inlineStr">
        <is>
          <t>פתאל.ה1ס</t>
        </is>
      </c>
      <c r="C32" t="n">
        <v>1169721</v>
      </c>
      <c r="D32" t="inlineStr">
        <is>
          <t xml:space="preserve"> איגרות חוב להמרה </t>
        </is>
      </c>
      <c r="E32" t="n">
        <v>171.6</v>
      </c>
      <c r="F32" t="n">
        <v>0</v>
      </c>
      <c r="I32" t="n">
        <v>180.6</v>
      </c>
      <c r="J32" t="n">
        <v>180.6</v>
      </c>
      <c r="P32" t="n">
        <v>0</v>
      </c>
      <c r="Q32" t="n">
        <v>14.3</v>
      </c>
      <c r="T32" t="n">
        <v>3407</v>
      </c>
      <c r="U32" t="n">
        <v>280</v>
      </c>
      <c r="V32" t="n">
        <v>94000</v>
      </c>
      <c r="Y32" t="n">
        <v>1886260</v>
      </c>
      <c r="AC32" t="inlineStr">
        <is>
          <t>לא צמוד</t>
        </is>
      </c>
      <c r="AD32" t="n">
        <v>4</v>
      </c>
      <c r="AE32" s="10" t="n">
        <v>46888</v>
      </c>
      <c r="AF32" t="inlineStr">
        <is>
          <t>פתאל החזקות</t>
        </is>
      </c>
      <c r="AG32" t="n">
        <v>1143429</v>
      </c>
      <c r="AH32" t="inlineStr">
        <is>
          <t>IL0011434292</t>
        </is>
      </c>
      <c r="AI32" t="n">
        <v>430</v>
      </c>
      <c r="AJ32" t="n">
        <v>71240</v>
      </c>
      <c r="AK32" s="10" t="n">
        <v>46878</v>
      </c>
      <c r="AW32" t="inlineStr">
        <is>
          <t>IL0011697211</t>
        </is>
      </c>
      <c r="AX32" t="n">
        <v>1621</v>
      </c>
      <c r="AY32" s="11" t="n">
        <v>-0.2678341897174984</v>
      </c>
      <c r="AZ32" s="12" t="n">
        <v>0.03576642335766422</v>
      </c>
      <c r="BA32" s="8" t="n">
        <v>1.523295986837021</v>
      </c>
      <c r="BB32" s="8" t="n">
        <v>2.080534170598961</v>
      </c>
      <c r="BC32" s="8" t="n">
        <v>1.526027397260274</v>
      </c>
      <c r="BD32" s="11" t="n">
        <v>0.006564712364774261</v>
      </c>
    </row>
    <row r="33">
      <c r="A33" t="inlineStr">
        <is>
          <t>רב בריח    אג א</t>
        </is>
      </c>
      <c r="B33" t="inlineStr">
        <is>
          <t>בריח.ה1</t>
        </is>
      </c>
      <c r="C33" t="n">
        <v>1209824</v>
      </c>
      <c r="D33" t="inlineStr">
        <is>
          <t xml:space="preserve"> איגרות חוב להמרה </t>
        </is>
      </c>
      <c r="E33" t="n">
        <v>153.4</v>
      </c>
      <c r="F33" t="n">
        <v>0</v>
      </c>
      <c r="I33" t="n">
        <v>123.5</v>
      </c>
      <c r="J33" t="n">
        <v>123.5</v>
      </c>
      <c r="P33" t="n">
        <v>0.5</v>
      </c>
      <c r="Q33" t="n">
        <v>-15.7</v>
      </c>
      <c r="T33" t="n">
        <v>76141</v>
      </c>
      <c r="U33" t="n">
        <v>410</v>
      </c>
      <c r="V33" t="n">
        <v>410000</v>
      </c>
      <c r="Y33" t="n">
        <v>61652293</v>
      </c>
      <c r="AC33" t="inlineStr">
        <is>
          <t>לא צמוד</t>
        </is>
      </c>
      <c r="AD33" t="n">
        <v>5.5</v>
      </c>
      <c r="AE33" s="10" t="n">
        <v>47300</v>
      </c>
      <c r="AF33" t="inlineStr">
        <is>
          <t>רב בריח</t>
        </is>
      </c>
      <c r="AG33" t="n">
        <v>1179993</v>
      </c>
      <c r="AH33" t="inlineStr">
        <is>
          <t>IL0011799934</t>
        </is>
      </c>
      <c r="AI33" t="n">
        <v>0.89</v>
      </c>
      <c r="AJ33" t="n">
        <v>131.5</v>
      </c>
      <c r="AK33" s="10" t="n">
        <v>47289</v>
      </c>
      <c r="AW33" t="inlineStr">
        <is>
          <t>IL0012098245</t>
        </is>
      </c>
      <c r="AX33" t="n">
        <v>1949</v>
      </c>
      <c r="AY33" s="11" t="n">
        <v>-0.1063289043143621</v>
      </c>
      <c r="AZ33" s="12" t="n">
        <v>0.03822053231939182</v>
      </c>
      <c r="BA33" s="8" t="n">
        <v>2.560119355490841</v>
      </c>
      <c r="BB33" s="8" t="n">
        <v>2.864722119636956</v>
      </c>
      <c r="BC33" s="8" t="n">
        <v>2.652054794520548</v>
      </c>
      <c r="BD33" s="11" t="n">
        <v>0.003906067886464903</v>
      </c>
    </row>
    <row r="34">
      <c r="A34" t="inlineStr">
        <is>
          <t>שמן נדלן   אג 1</t>
        </is>
      </c>
      <c r="B34" t="inlineStr">
        <is>
          <t>שמנד.ה1</t>
        </is>
      </c>
      <c r="C34" t="n">
        <v>1220326</v>
      </c>
      <c r="D34" t="inlineStr">
        <is>
          <t xml:space="preserve"> איגרות חוב להמרה </t>
        </is>
      </c>
      <c r="E34" t="n">
        <v>102</v>
      </c>
      <c r="F34" t="n">
        <v>0</v>
      </c>
      <c r="I34" t="n">
        <v>104.1</v>
      </c>
      <c r="J34" t="n">
        <v>104.1</v>
      </c>
      <c r="P34" t="n">
        <v>0</v>
      </c>
      <c r="Q34" t="n">
        <v>4.8</v>
      </c>
      <c r="T34" t="n">
        <v>106182</v>
      </c>
      <c r="U34" t="n">
        <v>480</v>
      </c>
      <c r="V34" t="n">
        <v>480000</v>
      </c>
      <c r="Y34" t="n">
        <v>102000000</v>
      </c>
      <c r="AC34" t="inlineStr">
        <is>
          <t>לא צמוד</t>
        </is>
      </c>
      <c r="AD34" t="n">
        <v>4.5</v>
      </c>
      <c r="AE34" s="10" t="n">
        <v>46905</v>
      </c>
      <c r="AF34" t="inlineStr">
        <is>
          <t>שמן נדלן</t>
        </is>
      </c>
      <c r="AG34" t="n">
        <v>634030</v>
      </c>
      <c r="AH34" t="inlineStr">
        <is>
          <t>IL0006340306</t>
        </is>
      </c>
      <c r="AI34" t="n">
        <v>18</v>
      </c>
      <c r="AJ34" t="n">
        <v>1430</v>
      </c>
      <c r="AK34" s="10" t="n">
        <v>46895</v>
      </c>
      <c r="AW34" t="inlineStr">
        <is>
          <t>IL0012203266</t>
        </is>
      </c>
      <c r="AX34" t="n">
        <v>634</v>
      </c>
      <c r="AY34" s="11" t="n">
        <v>0.03184853725696141</v>
      </c>
      <c r="AZ34" s="12" t="n">
        <v>0.2839160839160839</v>
      </c>
      <c r="BA34" s="8" t="n">
        <v>1.554716960419611</v>
      </c>
      <c r="BB34" s="8" t="n">
        <v>1.506729819623168</v>
      </c>
      <c r="BC34" s="8" t="n">
        <v>1.572602739726027</v>
      </c>
      <c r="BD34" s="11" t="n">
        <v>0.006432038920641248</v>
      </c>
    </row>
    <row r="35">
      <c r="AB35" s="10" t="n"/>
      <c r="AE35" s="10" t="n"/>
      <c r="AY35" s="11" t="n"/>
      <c r="AZ35" s="12" t="n"/>
      <c r="BA35" s="8" t="n"/>
      <c r="BB35" s="8" t="n"/>
      <c r="BC35" s="8" t="n"/>
      <c r="BD35" s="11" t="n"/>
    </row>
    <row r="36">
      <c r="AB36" s="10" t="n"/>
      <c r="AE36" s="10" t="n"/>
      <c r="AY36" s="11" t="n"/>
      <c r="AZ36" s="12" t="n"/>
      <c r="BA36" s="8" t="n"/>
      <c r="BB36" s="8" t="n"/>
      <c r="BC36" s="8" t="n"/>
      <c r="BD36" s="11" t="n"/>
    </row>
    <row r="37">
      <c r="AA37" s="10" t="n"/>
      <c r="AB37" s="10" t="n"/>
      <c r="AE37" s="10" t="n"/>
      <c r="AY37" s="11" t="n"/>
      <c r="AZ37" s="12" t="n"/>
      <c r="BA37" s="8" t="n"/>
      <c r="BB37" s="8" t="n"/>
      <c r="BC37" s="8" t="n"/>
      <c r="BD37" s="11" t="n"/>
      <c r="BF37" s="17" t="n"/>
    </row>
    <row r="38">
      <c r="AY38" s="11" t="n"/>
      <c r="AZ38" s="12" t="n"/>
      <c r="BA38" s="8" t="n"/>
      <c r="BB38" s="8" t="n"/>
      <c r="BC38" s="8" t="n"/>
      <c r="BD38" s="11" t="n"/>
    </row>
  </sheetData>
  <autoFilter ref="A1:BYF3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 Levy</dc:creator>
  <dcterms:created xsi:type="dcterms:W3CDTF">2026-03-17T09:54:11Z</dcterms:created>
  <dcterms:modified xsi:type="dcterms:W3CDTF">2026-10-26T10:49:28Z</dcterms:modified>
  <cp:lastModifiedBy>chen levy</cp:lastModifiedBy>
</cp:coreProperties>
</file>